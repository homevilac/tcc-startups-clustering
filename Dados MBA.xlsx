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ackup Portugal" sheetId="1" r:id="rId5"/>
    <sheet state="hidden" name="backup Brasil" sheetId="2" r:id="rId6"/>
    <sheet state="hidden" name="Dados" sheetId="3" r:id="rId7"/>
    <sheet state="hidden" name=" Dataset - Bruto" sheetId="4" r:id="rId8"/>
    <sheet state="hidden" name="Dataset - Ajustado" sheetId="5" r:id="rId9"/>
    <sheet state="visible" name="Dataset " sheetId="6" r:id="rId10"/>
    <sheet state="visible" name="Base Final" sheetId="7" r:id="rId11"/>
    <sheet state="visible" name="Definições" sheetId="8" r:id="rId12"/>
    <sheet state="visible" name="Critérios" sheetId="9" r:id="rId13"/>
    <sheet state="visible" name="Apoio" sheetId="10" r:id="rId14"/>
  </sheets>
  <definedNames/>
  <calcPr/>
</workbook>
</file>

<file path=xl/sharedStrings.xml><?xml version="1.0" encoding="utf-8"?>
<sst xmlns="http://schemas.openxmlformats.org/spreadsheetml/2006/main" count="10650" uniqueCount="2139">
  <si>
    <t>Empresa</t>
  </si>
  <si>
    <t>Organização</t>
  </si>
  <si>
    <t>País</t>
  </si>
  <si>
    <t>Área</t>
  </si>
  <si>
    <t>Modelo SaaS ou tecnologia escalável com componente recorrente</t>
  </si>
  <si>
    <t>A seleção inicial das empresas foi realizada a partir de bases públicas amplamente utilizadas no mapeamento de ecossistemas de inovação, incluindo relatórios do Distrito (Brasil), Dealroom (Portugal), Startup Portugal e LinkedIn Company Directory.</t>
  </si>
  <si>
    <t>Nome da empresa</t>
  </si>
  <si>
    <t xml:space="preserve">OutSystems </t>
  </si>
  <si>
    <t>Tipo de Finan.</t>
  </si>
  <si>
    <t>Cidade</t>
  </si>
  <si>
    <t>Funct.</t>
  </si>
  <si>
    <t xml:space="preserve"> Portugal </t>
  </si>
  <si>
    <t>Ano de fundação</t>
  </si>
  <si>
    <t xml:space="preserve"> DevTools / Low-Code</t>
  </si>
  <si>
    <t>Indústrias (Resumo)</t>
  </si>
  <si>
    <t>Atuação predominante B2B</t>
  </si>
  <si>
    <t>Localização</t>
  </si>
  <si>
    <t>Total HC</t>
  </si>
  <si>
    <t xml:space="preserve">Talkdesk </t>
  </si>
  <si>
    <t>Crescimento HC 12 meses</t>
  </si>
  <si>
    <t>CB Rank</t>
  </si>
  <si>
    <t>Funcionários engenharia</t>
  </si>
  <si>
    <t>Data Últ. Finan.</t>
  </si>
  <si>
    <t xml:space="preserve"> CX / Contact Center</t>
  </si>
  <si>
    <t>Funcionários vendas</t>
  </si>
  <si>
    <t>Entre 20 e 500 colaboradores</t>
  </si>
  <si>
    <t>Status</t>
  </si>
  <si>
    <t>Funcionários marketing</t>
  </si>
  <si>
    <t>Funcionários CS</t>
  </si>
  <si>
    <t>Total Captado</t>
  </si>
  <si>
    <t xml:space="preserve">Feedzai </t>
  </si>
  <si>
    <t>Último Aporte</t>
  </si>
  <si>
    <t>Growth</t>
  </si>
  <si>
    <t xml:space="preserve"> Fintech / Fraud</t>
  </si>
  <si>
    <t>Funding (USD)</t>
  </si>
  <si>
    <t>Pelo menos uma rodada de funding identificável</t>
  </si>
  <si>
    <t>Bravium</t>
  </si>
  <si>
    <t>Número de rodadas</t>
  </si>
  <si>
    <t>Venture</t>
  </si>
  <si>
    <t xml:space="preserve">Remote </t>
  </si>
  <si>
    <t>Ano de ultima rodada</t>
  </si>
  <si>
    <t>251-500</t>
  </si>
  <si>
    <t>Status de funding</t>
  </si>
  <si>
    <t xml:space="preserve"> HRTech / Global Payroll</t>
  </si>
  <si>
    <t>B2B, Loyalty, Analytics</t>
  </si>
  <si>
    <t>Faixa de vidas</t>
  </si>
  <si>
    <t>São Paulo</t>
  </si>
  <si>
    <t>Growth score (métrica do próprio cb)</t>
  </si>
  <si>
    <t>Brasil</t>
  </si>
  <si>
    <t>Funding/HC</t>
  </si>
  <si>
    <t>Tech/Sales rate</t>
  </si>
  <si>
    <t xml:space="preserve">Brasil </t>
  </si>
  <si>
    <t>Portugal</t>
  </si>
  <si>
    <t>Fundação até ult rodada</t>
  </si>
  <si>
    <t>Seguidores linkedin</t>
  </si>
  <si>
    <t>TEM IA</t>
  </si>
  <si>
    <t>Dados públicos disponíveis via LinkedIn e Crunchbase</t>
  </si>
  <si>
    <t>Tendencia aumento de quadro ult 12m</t>
  </si>
  <si>
    <t>Jáchegou</t>
  </si>
  <si>
    <t>Seed</t>
  </si>
  <si>
    <t xml:space="preserve">Sword Health </t>
  </si>
  <si>
    <t>11-50</t>
  </si>
  <si>
    <t>Crunchbase</t>
  </si>
  <si>
    <t>Delivery, E-Commerce</t>
  </si>
  <si>
    <t xml:space="preserve"> HealthTech</t>
  </si>
  <si>
    <t>x</t>
  </si>
  <si>
    <t>Porto</t>
  </si>
  <si>
    <t xml:space="preserve">Unbabel </t>
  </si>
  <si>
    <t>—</t>
  </si>
  <si>
    <t xml:space="preserve"> AI / Language Tech</t>
  </si>
  <si>
    <t>R$ 100M</t>
  </si>
  <si>
    <t>Dealroom</t>
  </si>
  <si>
    <t>Low</t>
  </si>
  <si>
    <t xml:space="preserve">Defined.ai </t>
  </si>
  <si>
    <t>Moss.Earth</t>
  </si>
  <si>
    <t xml:space="preserve"> AI / Data</t>
  </si>
  <si>
    <t>Series A</t>
  </si>
  <si>
    <t>Startup Portugal</t>
  </si>
  <si>
    <t>51-100</t>
  </si>
  <si>
    <t>Enviromental, Eng.</t>
  </si>
  <si>
    <t xml:space="preserve">Infraspeak </t>
  </si>
  <si>
    <t xml:space="preserve"> Facility Management SaaS</t>
  </si>
  <si>
    <t>Web Summit</t>
  </si>
  <si>
    <t xml:space="preserve">Codacy </t>
  </si>
  <si>
    <t>Early Stage Venture</t>
  </si>
  <si>
    <t>$13.4M</t>
  </si>
  <si>
    <t xml:space="preserve"> DevTools</t>
  </si>
  <si>
    <t>$ 10M</t>
  </si>
  <si>
    <t>Distrito</t>
  </si>
  <si>
    <t>Doris</t>
  </si>
  <si>
    <t xml:space="preserve">Jscrambler </t>
  </si>
  <si>
    <t xml:space="preserve"> Cybersecurity</t>
  </si>
  <si>
    <t>Fashion, GenAI</t>
  </si>
  <si>
    <t xml:space="preserve">Uniplaces </t>
  </si>
  <si>
    <t xml:space="preserve"> PropTech</t>
  </si>
  <si>
    <t>$10M</t>
  </si>
  <si>
    <t xml:space="preserve">Casafari </t>
  </si>
  <si>
    <t xml:space="preserve"> PropTech / Data</t>
  </si>
  <si>
    <t>Loft</t>
  </si>
  <si>
    <t>1001-5k</t>
  </si>
  <si>
    <t xml:space="preserve">StudentFinance </t>
  </si>
  <si>
    <t>PropTech, FinTech</t>
  </si>
  <si>
    <t xml:space="preserve"> Fintech / EdFinance</t>
  </si>
  <si>
    <t xml:space="preserve">Probely </t>
  </si>
  <si>
    <t>$888M</t>
  </si>
  <si>
    <t>$ 100M</t>
  </si>
  <si>
    <t>Medium</t>
  </si>
  <si>
    <t xml:space="preserve">TonicApp </t>
  </si>
  <si>
    <t>Yuca</t>
  </si>
  <si>
    <t>101-250</t>
  </si>
  <si>
    <t xml:space="preserve">Rows </t>
  </si>
  <si>
    <t>PropTech, Rental</t>
  </si>
  <si>
    <t xml:space="preserve"> Productivity SaaS</t>
  </si>
  <si>
    <t xml:space="preserve">Veniam </t>
  </si>
  <si>
    <t>$14.7M</t>
  </si>
  <si>
    <t xml:space="preserve"> Networking / Infra</t>
  </si>
  <si>
    <t xml:space="preserve">Blip </t>
  </si>
  <si>
    <t>Fintalk AI</t>
  </si>
  <si>
    <t xml:space="preserve"> Conversational Commerce</t>
  </si>
  <si>
    <t>AI, Sales Auto.</t>
  </si>
  <si>
    <t xml:space="preserve">Critical Software </t>
  </si>
  <si>
    <t xml:space="preserve"> Enterprise Software</t>
  </si>
  <si>
    <t xml:space="preserve">Glintt </t>
  </si>
  <si>
    <t>$ 3M</t>
  </si>
  <si>
    <t>R$ 6M</t>
  </si>
  <si>
    <t xml:space="preserve">360imprimir </t>
  </si>
  <si>
    <t>Salú</t>
  </si>
  <si>
    <t xml:space="preserve"> B2B Commerce SaaS</t>
  </si>
  <si>
    <t>Health Care, SaaS</t>
  </si>
  <si>
    <t xml:space="preserve">Bizay </t>
  </si>
  <si>
    <t xml:space="preserve">Barkyn </t>
  </si>
  <si>
    <t xml:space="preserve"> Subscription Platform</t>
  </si>
  <si>
    <t>R$ 12M</t>
  </si>
  <si>
    <t xml:space="preserve">GuestCentric </t>
  </si>
  <si>
    <t>Foxbit</t>
  </si>
  <si>
    <t xml:space="preserve"> Hospitality SaaS</t>
  </si>
  <si>
    <t xml:space="preserve">Nonius </t>
  </si>
  <si>
    <t>Crypto, FinTech</t>
  </si>
  <si>
    <t xml:space="preserve"> Hospitality Tech</t>
  </si>
  <si>
    <t xml:space="preserve">WeDo Technologies </t>
  </si>
  <si>
    <t>Linkedin</t>
  </si>
  <si>
    <t>$21.1M</t>
  </si>
  <si>
    <t xml:space="preserve"> Revenue Assurance</t>
  </si>
  <si>
    <t>$ 21M</t>
  </si>
  <si>
    <t>proxy</t>
  </si>
  <si>
    <t xml:space="preserve">James </t>
  </si>
  <si>
    <t>IBBX</t>
  </si>
  <si>
    <t xml:space="preserve"> Customer Support SaaS</t>
  </si>
  <si>
    <t>IoT, Energy Mgmt</t>
  </si>
  <si>
    <t xml:space="preserve">UpHill </t>
  </si>
  <si>
    <t>Capivari</t>
  </si>
  <si>
    <t xml:space="preserve">Coverflex </t>
  </si>
  <si>
    <t xml:space="preserve"> HRTech</t>
  </si>
  <si>
    <t>$5M</t>
  </si>
  <si>
    <t>$ 5M</t>
  </si>
  <si>
    <t xml:space="preserve">Sensei </t>
  </si>
  <si>
    <t xml:space="preserve"> Retail Tech</t>
  </si>
  <si>
    <t>Nomo</t>
  </si>
  <si>
    <t xml:space="preserve">Climber RMS </t>
  </si>
  <si>
    <t>Telecom, IT</t>
  </si>
  <si>
    <t xml:space="preserve"> Revenue Management SaaS</t>
  </si>
  <si>
    <t>Empresas de 11 - 1000 funcionários</t>
  </si>
  <si>
    <t xml:space="preserve">E-goi </t>
  </si>
  <si>
    <t xml:space="preserve"> Marketing Automation</t>
  </si>
  <si>
    <t xml:space="preserve">AddVolt </t>
  </si>
  <si>
    <t>PharmAssistant</t>
  </si>
  <si>
    <t xml:space="preserve"> Energy Tech</t>
  </si>
  <si>
    <t>M&amp;A</t>
  </si>
  <si>
    <t>R$ 14M</t>
  </si>
  <si>
    <t xml:space="preserve">YData </t>
  </si>
  <si>
    <t>Health Tech, Hardware</t>
  </si>
  <si>
    <t>Lisboa</t>
  </si>
  <si>
    <t>High</t>
  </si>
  <si>
    <t xml:space="preserve"> Data Privacy</t>
  </si>
  <si>
    <t>Turn2C</t>
  </si>
  <si>
    <t xml:space="preserve">Relive </t>
  </si>
  <si>
    <t>AI, Finance</t>
  </si>
  <si>
    <t xml:space="preserve"> Data Analytics</t>
  </si>
  <si>
    <t xml:space="preserve">Actifile </t>
  </si>
  <si>
    <t xml:space="preserve"> Data Security</t>
  </si>
  <si>
    <t>R$ 33.5M</t>
  </si>
  <si>
    <t xml:space="preserve">LOQR </t>
  </si>
  <si>
    <t>R$ 25M</t>
  </si>
  <si>
    <t xml:space="preserve"> Identity / Fintech</t>
  </si>
  <si>
    <t>Clubbi</t>
  </si>
  <si>
    <t xml:space="preserve">Uphold (PT operations) </t>
  </si>
  <si>
    <t xml:space="preserve"> Fintech</t>
  </si>
  <si>
    <t>B2B, RetailTech</t>
  </si>
  <si>
    <t>Rio de Jan.</t>
  </si>
  <si>
    <t xml:space="preserve">Ebury (PT operations) </t>
  </si>
  <si>
    <t xml:space="preserve">Smiling Mind PT </t>
  </si>
  <si>
    <t>$17M</t>
  </si>
  <si>
    <t>$ 12M</t>
  </si>
  <si>
    <t xml:space="preserve"> AI Platfor</t>
  </si>
  <si>
    <t xml:space="preserve">RD Station </t>
  </si>
  <si>
    <t>Zé Delivery</t>
  </si>
  <si>
    <t xml:space="preserve"> Brazil </t>
  </si>
  <si>
    <t>501-1k</t>
  </si>
  <si>
    <t>Delivery, E-com</t>
  </si>
  <si>
    <t xml:space="preserve">Pipefy </t>
  </si>
  <si>
    <t xml:space="preserve"> Workflow SaaS</t>
  </si>
  <si>
    <t xml:space="preserve">Conta Azul </t>
  </si>
  <si>
    <t>$9.3M</t>
  </si>
  <si>
    <t xml:space="preserve"> Accounting SaaS</t>
  </si>
  <si>
    <t>$ 9.3M</t>
  </si>
  <si>
    <t xml:space="preserve">Omie </t>
  </si>
  <si>
    <t>Pipeimob</t>
  </si>
  <si>
    <t xml:space="preserve"> ERP SaaS</t>
  </si>
  <si>
    <t xml:space="preserve">Exact Sales </t>
  </si>
  <si>
    <t xml:space="preserve"> SalesTech</t>
  </si>
  <si>
    <t xml:space="preserve">Moskit CRM </t>
  </si>
  <si>
    <t>R$ 19.5M</t>
  </si>
  <si>
    <t xml:space="preserve"> CRM</t>
  </si>
  <si>
    <t>R$ 15M</t>
  </si>
  <si>
    <t>Passaram da fase seed</t>
  </si>
  <si>
    <t xml:space="preserve">Meetime </t>
  </si>
  <si>
    <t>Next Fit</t>
  </si>
  <si>
    <t xml:space="preserve"> Sales Engagement</t>
  </si>
  <si>
    <t>Fitness, SaaS</t>
  </si>
  <si>
    <t xml:space="preserve">Sankhya </t>
  </si>
  <si>
    <t>S. Catarina</t>
  </si>
  <si>
    <t>Bandora</t>
  </si>
  <si>
    <t xml:space="preserve"> ERP</t>
  </si>
  <si>
    <t>AI, Smart Building</t>
  </si>
  <si>
    <t xml:space="preserve">Nibo </t>
  </si>
  <si>
    <t>R$ 54M</t>
  </si>
  <si>
    <t xml:space="preserve"> Financial SaaS</t>
  </si>
  <si>
    <r>
      <rPr>
        <color rgb="FF1155CC"/>
        <u/>
      </rPr>
      <t>Oct 2, 2025</t>
    </r>
  </si>
  <si>
    <t>R$ 50M</t>
  </si>
  <si>
    <t xml:space="preserve">Conexa Saúde </t>
  </si>
  <si>
    <t>€2,135,383</t>
  </si>
  <si>
    <t>StartSe</t>
  </si>
  <si>
    <t xml:space="preserve">Solides </t>
  </si>
  <si>
    <t>EdTech, VC</t>
  </si>
  <si>
    <t xml:space="preserve">Kenlo </t>
  </si>
  <si>
    <t>$15M</t>
  </si>
  <si>
    <t>$ 15M</t>
  </si>
  <si>
    <t xml:space="preserve">Vindi </t>
  </si>
  <si>
    <t xml:space="preserve"> Subscription SaaS</t>
  </si>
  <si>
    <t>LogShare</t>
  </si>
  <si>
    <t xml:space="preserve">Hotmart </t>
  </si>
  <si>
    <t>Logistics, AI</t>
  </si>
  <si>
    <t xml:space="preserve"> Digital Platform</t>
  </si>
  <si>
    <t xml:space="preserve">Celcoin </t>
  </si>
  <si>
    <t xml:space="preserve"> Fintech Infra</t>
  </si>
  <si>
    <t>$2.4M</t>
  </si>
  <si>
    <t xml:space="preserve">Feegow </t>
  </si>
  <si>
    <t>$ 2.4M</t>
  </si>
  <si>
    <t>Nibo</t>
  </si>
  <si>
    <t xml:space="preserve">iClinic </t>
  </si>
  <si>
    <t>FinTech, Accounting</t>
  </si>
  <si>
    <t xml:space="preserve">Leadster </t>
  </si>
  <si>
    <t xml:space="preserve"> Conversational Marketing</t>
  </si>
  <si>
    <t xml:space="preserve">Take Blip </t>
  </si>
  <si>
    <t>$ 6.6M</t>
  </si>
  <si>
    <t>R$ 20M</t>
  </si>
  <si>
    <t xml:space="preserve"> Chatbot Platform</t>
  </si>
  <si>
    <t xml:space="preserve">Qulture.Rocks </t>
  </si>
  <si>
    <t>Brick</t>
  </si>
  <si>
    <t>InsurTech, AI</t>
  </si>
  <si>
    <t xml:space="preserve">Gupy </t>
  </si>
  <si>
    <t>Curitiba</t>
  </si>
  <si>
    <t xml:space="preserve"> Recruitment SaaS</t>
  </si>
  <si>
    <t xml:space="preserve">Convenia </t>
  </si>
  <si>
    <t>$1.7M</t>
  </si>
  <si>
    <t>$ 865k</t>
  </si>
  <si>
    <t xml:space="preserve"> HR SaaS</t>
  </si>
  <si>
    <t>Bornlogic</t>
  </si>
  <si>
    <t xml:space="preserve">Loft </t>
  </si>
  <si>
    <t>Late Stage Ventur</t>
  </si>
  <si>
    <t>Marketing, Retail</t>
  </si>
  <si>
    <t xml:space="preserve">Samba Tech </t>
  </si>
  <si>
    <t xml:space="preserve"> Video SaaS</t>
  </si>
  <si>
    <t xml:space="preserve">Cortex </t>
  </si>
  <si>
    <t>R$ 60M</t>
  </si>
  <si>
    <t>R$ 52M</t>
  </si>
  <si>
    <t xml:space="preserve"> Market Intelligence</t>
  </si>
  <si>
    <t>Wakaru</t>
  </si>
  <si>
    <t>Housi</t>
  </si>
  <si>
    <t xml:space="preserve">Neoway </t>
  </si>
  <si>
    <t>Cyber Security, Analytics</t>
  </si>
  <si>
    <t>Torres V.</t>
  </si>
  <si>
    <t>Real Estate, Algo</t>
  </si>
  <si>
    <t xml:space="preserve">Nexaas </t>
  </si>
  <si>
    <t>$21M</t>
  </si>
  <si>
    <t xml:space="preserve">Mindsight </t>
  </si>
  <si>
    <t xml:space="preserve"> Talent Analytics</t>
  </si>
  <si>
    <t>eureciclo</t>
  </si>
  <si>
    <t xml:space="preserve">Arquivei </t>
  </si>
  <si>
    <t>Series B</t>
  </si>
  <si>
    <t xml:space="preserve"> Fiscal Automation</t>
  </si>
  <si>
    <t>Recycling, ESG</t>
  </si>
  <si>
    <t xml:space="preserve">Ploomes </t>
  </si>
  <si>
    <t>$23M</t>
  </si>
  <si>
    <t xml:space="preserve">Agendor </t>
  </si>
  <si>
    <t>$ 19.5M</t>
  </si>
  <si>
    <t xml:space="preserve">Olist </t>
  </si>
  <si>
    <t xml:space="preserve"> Ecommerce SaaS</t>
  </si>
  <si>
    <t>Noh</t>
  </si>
  <si>
    <t xml:space="preserve">Fhinck </t>
  </si>
  <si>
    <t>FinTech, Social</t>
  </si>
  <si>
    <t xml:space="preserve"> Process Mining</t>
  </si>
  <si>
    <t xml:space="preserve">Zenvia </t>
  </si>
  <si>
    <t xml:space="preserve"> Communication Platform</t>
  </si>
  <si>
    <t>$3M</t>
  </si>
  <si>
    <t xml:space="preserve">Bling </t>
  </si>
  <si>
    <t>B4A</t>
  </si>
  <si>
    <t xml:space="preserve">Fretadão </t>
  </si>
  <si>
    <t xml:space="preserve"> Logistics Tech</t>
  </si>
  <si>
    <t>Beauty, E-com</t>
  </si>
  <si>
    <t xml:space="preserve">Cobli </t>
  </si>
  <si>
    <t>Avenidas</t>
  </si>
  <si>
    <t xml:space="preserve"> Fleet Management</t>
  </si>
  <si>
    <t>$10.2M</t>
  </si>
  <si>
    <t>Mobility, Transportation</t>
  </si>
  <si>
    <t xml:space="preserve">Logcomex </t>
  </si>
  <si>
    <t>$ 2.5M</t>
  </si>
  <si>
    <t xml:space="preserve"> Trade Tech</t>
  </si>
  <si>
    <t>Bradesco</t>
  </si>
  <si>
    <t xml:space="preserve">FreteBras </t>
  </si>
  <si>
    <t>Post-IPO Debt</t>
  </si>
  <si>
    <t>10k+</t>
  </si>
  <si>
    <t xml:space="preserve"> Logistics Platform</t>
  </si>
  <si>
    <t>Banking, Finance</t>
  </si>
  <si>
    <t xml:space="preserve">Clicksign </t>
  </si>
  <si>
    <t>Osasco</t>
  </si>
  <si>
    <t xml:space="preserve"> Digital Signature</t>
  </si>
  <si>
    <t>$750M</t>
  </si>
  <si>
    <t>$ 750M</t>
  </si>
  <si>
    <t>Auratec</t>
  </si>
  <si>
    <t>501-1000</t>
  </si>
  <si>
    <t>Industrial, Mfg.</t>
  </si>
  <si>
    <t>Betim</t>
  </si>
  <si>
    <t>$24.1M</t>
  </si>
  <si>
    <t>$ 7.3M</t>
  </si>
  <si>
    <t>Involves</t>
  </si>
  <si>
    <t>Enterprise SaaS</t>
  </si>
  <si>
    <t>Florianópolis</t>
  </si>
  <si>
    <t>R$ 93.5M</t>
  </si>
  <si>
    <t>R$ 70M</t>
  </si>
  <si>
    <t>Ubiwhere</t>
  </si>
  <si>
    <t>77 Sol</t>
  </si>
  <si>
    <t>Smart Cities, Software</t>
  </si>
  <si>
    <t>Barrocas</t>
  </si>
  <si>
    <t>Renewable Energy</t>
  </si>
  <si>
    <t>Zazos</t>
  </si>
  <si>
    <t>1k-5k</t>
  </si>
  <si>
    <t>HRTech, No-code</t>
  </si>
  <si>
    <t>$ 2.3M</t>
  </si>
  <si>
    <t>Aegro</t>
  </si>
  <si>
    <t>AgTech, SaaS</t>
  </si>
  <si>
    <t>Porto Alegre</t>
  </si>
  <si>
    <t>Syos</t>
  </si>
  <si>
    <t>AQVA MORE</t>
  </si>
  <si>
    <t>IoT, Analytics</t>
  </si>
  <si>
    <t>Water Purification, Mfg</t>
  </si>
  <si>
    <t>Oeiras</t>
  </si>
  <si>
    <t>$ 6.4M</t>
  </si>
  <si>
    <t>Frizata</t>
  </si>
  <si>
    <t>FoodTech, D2C</t>
  </si>
  <si>
    <t>$9.5M</t>
  </si>
  <si>
    <t>5k-10k</t>
  </si>
  <si>
    <t>Raizen</t>
  </si>
  <si>
    <t>Energy, Biofuel</t>
  </si>
  <si>
    <t>IPO</t>
  </si>
  <si>
    <t>$1B</t>
  </si>
  <si>
    <t>$ 1B</t>
  </si>
  <si>
    <t>Symbiomics</t>
  </si>
  <si>
    <t>AgTech, BioTech</t>
  </si>
  <si>
    <t>Cuckuu</t>
  </si>
  <si>
    <t>Social Alarm, Mobile Apps</t>
  </si>
  <si>
    <t>$3.5M</t>
  </si>
  <si>
    <t>$ 1.3M</t>
  </si>
  <si>
    <t>$1,164,772</t>
  </si>
  <si>
    <t>Futuriza</t>
  </si>
  <si>
    <t>FashionTech</t>
  </si>
  <si>
    <t>Joinville</t>
  </si>
  <si>
    <t>$1.3M</t>
  </si>
  <si>
    <t>$ 1.2M</t>
  </si>
  <si>
    <t>Pix Mídia</t>
  </si>
  <si>
    <t>HRTech, Digital Sig.</t>
  </si>
  <si>
    <t>Esteio</t>
  </si>
  <si>
    <t>R$ 4.2M</t>
  </si>
  <si>
    <t>R$ 2.9M</t>
  </si>
  <si>
    <t>Dattos</t>
  </si>
  <si>
    <t>YouClap</t>
  </si>
  <si>
    <t>Social Media, Challenges</t>
  </si>
  <si>
    <t>Ílhavo</t>
  </si>
  <si>
    <t>FinTech, Auto.</t>
  </si>
  <si>
    <t>R$ 21.5M</t>
  </si>
  <si>
    <t>unico IDtech</t>
  </si>
  <si>
    <t>Series D</t>
  </si>
  <si>
    <t>Identity Mgmt</t>
  </si>
  <si>
    <t>Late Stage Venture</t>
  </si>
  <si>
    <t>S&amp;DG Consulting</t>
  </si>
  <si>
    <t>$336M</t>
  </si>
  <si>
    <t>Energy Storage, Renewable</t>
  </si>
  <si>
    <t>Coimbra</t>
  </si>
  <si>
    <t>HealthTech, Data</t>
  </si>
  <si>
    <t>Minas Gerais</t>
  </si>
  <si>
    <t>Total</t>
  </si>
  <si>
    <t>R$ 200M</t>
  </si>
  <si>
    <t>Agilize</t>
  </si>
  <si>
    <t>Accounting, FinTech</t>
  </si>
  <si>
    <t>Salvador</t>
  </si>
  <si>
    <t>BladeInsight</t>
  </si>
  <si>
    <t>Drone Mgmt, Renewable</t>
  </si>
  <si>
    <t>$9M</t>
  </si>
  <si>
    <t>Porto S.</t>
  </si>
  <si>
    <t>$ 9M</t>
  </si>
  <si>
    <t>€2,118,536</t>
  </si>
  <si>
    <t>Neoenergia</t>
  </si>
  <si>
    <t>$ 735M</t>
  </si>
  <si>
    <t>€ 300M</t>
  </si>
  <si>
    <t>Kenlo</t>
  </si>
  <si>
    <t>Digital Works</t>
  </si>
  <si>
    <t>PropTech, SaaS</t>
  </si>
  <si>
    <t>Digital Media, Software</t>
  </si>
  <si>
    <t>Campina</t>
  </si>
  <si>
    <t>R$ 122M</t>
  </si>
  <si>
    <t>R$ 95M</t>
  </si>
  <si>
    <t>Vittude</t>
  </si>
  <si>
    <t>HealthTech, SaaS</t>
  </si>
  <si>
    <t>Merytu</t>
  </si>
  <si>
    <t>$8.4M</t>
  </si>
  <si>
    <t>Employment, Mobile Apps</t>
  </si>
  <si>
    <t>$ 7M</t>
  </si>
  <si>
    <t>SuaQuadra</t>
  </si>
  <si>
    <t>R$ 21M</t>
  </si>
  <si>
    <t>Gerdau</t>
  </si>
  <si>
    <t>MagniFinance</t>
  </si>
  <si>
    <t>Manufacturing, Steel</t>
  </si>
  <si>
    <t>Fintech, Cashflow Mgmt</t>
  </si>
  <si>
    <t>R$ 566M</t>
  </si>
  <si>
    <t>Alinea Health</t>
  </si>
  <si>
    <t>HealthTech, Corp.</t>
  </si>
  <si>
    <t>11 - 500</t>
  </si>
  <si>
    <t>R$ 21.3M</t>
  </si>
  <si>
    <t>Hi Platform</t>
  </si>
  <si>
    <t>AI, Customer Svc</t>
  </si>
  <si>
    <t>PLUX biosignals</t>
  </si>
  <si>
    <t>R$ 35M</t>
  </si>
  <si>
    <t>Medical Device, Wireless</t>
  </si>
  <si>
    <t>Arruda V.</t>
  </si>
  <si>
    <t>FOOD TO SAVE</t>
  </si>
  <si>
    <t>Waste Mgmt, Food</t>
  </si>
  <si>
    <t>$3.7M</t>
  </si>
  <si>
    <t>$ 3.1M</t>
  </si>
  <si>
    <t>Truth &amp; Tales</t>
  </si>
  <si>
    <t>Mission To Escape</t>
  </si>
  <si>
    <t>Casual Games, Ent.</t>
  </si>
  <si>
    <t>EdTech, Gaming</t>
  </si>
  <si>
    <t>R$ 1.2M</t>
  </si>
  <si>
    <t>Psyche Aero.</t>
  </si>
  <si>
    <t>Aerospace, AgTech</t>
  </si>
  <si>
    <t>S. J. Campos</t>
  </si>
  <si>
    <t>Streambolico</t>
  </si>
  <si>
    <t>Video Streaming, Wireless</t>
  </si>
  <si>
    <t>R$ 34.2M</t>
  </si>
  <si>
    <t>R$ 17M</t>
  </si>
  <si>
    <t>3,671,559</t>
  </si>
  <si>
    <t>€1,250,000</t>
  </si>
  <si>
    <t>Dig. Manager Guru</t>
  </si>
  <si>
    <t>Sales Mgmt, Retail Tech</t>
  </si>
  <si>
    <t>Santarém</t>
  </si>
  <si>
    <t>GFoundry</t>
  </si>
  <si>
    <t>HR Tech, Gamification</t>
  </si>
  <si>
    <t>Matosinhos</t>
  </si>
  <si>
    <t>GrowIN Portugal</t>
  </si>
  <si>
    <t>Fintech, SaaS, Legal Tech</t>
  </si>
  <si>
    <t>Faro</t>
  </si>
  <si>
    <t>Sled</t>
  </si>
  <si>
    <t>FinTech, Payments</t>
  </si>
  <si>
    <t>R$7,500,000</t>
  </si>
  <si>
    <t>BioMimetx</t>
  </si>
  <si>
    <t>Biotech, Biofuel</t>
  </si>
  <si>
    <t>€3,700,000</t>
  </si>
  <si>
    <t>Infinite Foundry</t>
  </si>
  <si>
    <t>3D, Industrial VR</t>
  </si>
  <si>
    <t>X-Plora</t>
  </si>
  <si>
    <t>AR, XR, Tourism Tech</t>
  </si>
  <si>
    <t>Funcionários (linkedin)</t>
  </si>
  <si>
    <t xml:space="preserve">Faixa de vidas </t>
  </si>
  <si>
    <t>Fundação</t>
  </si>
  <si>
    <t>Site</t>
  </si>
  <si>
    <t>Logical Safety</t>
  </si>
  <si>
    <t>Remover</t>
  </si>
  <si>
    <t>IoT Safety, Predictive</t>
  </si>
  <si>
    <t>Leiria</t>
  </si>
  <si>
    <t>Seguidores  Linkedin</t>
  </si>
  <si>
    <t>Tem IA?</t>
  </si>
  <si>
    <t>beamian</t>
  </si>
  <si>
    <t>Event Tech, IoT, NFC</t>
  </si>
  <si>
    <t>Bitcliq</t>
  </si>
  <si>
    <t>Blockchain, IoT, Fishing</t>
  </si>
  <si>
    <t>Caldas R.</t>
  </si>
  <si>
    <t>11 - 50</t>
  </si>
  <si>
    <t>B-PARTS.com</t>
  </si>
  <si>
    <t>Automotive E-Comm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</si>
  <si>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http://www.bandorasystems.com</t>
    </r>
  </si>
  <si>
    <t>InKlusion</t>
  </si>
  <si>
    <t>Software, 3D Design</t>
  </si>
  <si>
    <t>Covilhã</t>
  </si>
  <si>
    <t>Whizztek</t>
  </si>
  <si>
    <t>Sports Social Network</t>
  </si>
  <si>
    <t>1,142,007</t>
  </si>
  <si>
    <t>Treat U</t>
  </si>
  <si>
    <t>Biotech, Nanotech</t>
  </si>
  <si>
    <t>3,070,907</t>
  </si>
  <si>
    <t>SocialTalk</t>
  </si>
  <si>
    <t>Influencer Marketing</t>
  </si>
  <si>
    <t>DocDigitizer</t>
  </si>
  <si>
    <t>Cognitive AI, SaaS</t>
  </si>
  <si>
    <t>€1,190,000</t>
  </si>
  <si>
    <t>101 - 250</t>
  </si>
  <si>
    <t>Momentum (%captado/captado total)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</si>
  <si>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http://www.avenidas.pt</t>
    </r>
  </si>
  <si>
    <t>Codavel</t>
  </si>
  <si>
    <t>App Performance, CDN</t>
  </si>
  <si>
    <t>Faturamento estimado</t>
  </si>
  <si>
    <t>€2,900,000</t>
  </si>
  <si>
    <t>Score Deeptech</t>
  </si>
  <si>
    <t>Score Cloud Native</t>
  </si>
  <si>
    <t>Score DevTools</t>
  </si>
  <si>
    <t>Score Analytics</t>
  </si>
  <si>
    <t>Score Growth Stack</t>
  </si>
  <si>
    <t>Modelo de negócio</t>
  </si>
  <si>
    <t>AIDigitalEngine</t>
  </si>
  <si>
    <t>Generative AI, RPA, Software</t>
  </si>
  <si>
    <t>ChemiTek</t>
  </si>
  <si>
    <t>Solar Panel Maintenance</t>
  </si>
  <si>
    <t>Esposende</t>
  </si>
  <si>
    <t>Sabesp</t>
  </si>
  <si>
    <t>10001+</t>
  </si>
  <si>
    <t>https://www.ai-digitalengine.com/</t>
  </si>
  <si>
    <t>Sanitation</t>
  </si>
  <si>
    <t>$2.5B</t>
  </si>
  <si>
    <t>$ 1.5B</t>
  </si>
  <si>
    <t>51 - 100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</si>
  <si>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http://www.ubiwhere.com</t>
    </r>
  </si>
  <si>
    <t>Pitzi</t>
  </si>
  <si>
    <t>InsurTech</t>
  </si>
  <si>
    <t>$29.7M</t>
  </si>
  <si>
    <t>$ 10.3M</t>
  </si>
  <si>
    <t>Delend</t>
  </si>
  <si>
    <t>FinTech, SaaS</t>
  </si>
  <si>
    <t>$20.1M</t>
  </si>
  <si>
    <t>Dolado</t>
  </si>
  <si>
    <t>B2B, Marketplace</t>
  </si>
  <si>
    <t>$12.2M</t>
  </si>
  <si>
    <t>Unknown</t>
  </si>
  <si>
    <t>The Coffee</t>
  </si>
  <si>
    <t>Food &amp; Beverage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</si>
  <si>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http://www.bandorasystems.com</t>
    </r>
  </si>
  <si>
    <t>$30.5M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</si>
  <si>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https://cuckuu.com</t>
    </r>
  </si>
  <si>
    <t>Farmtech</t>
  </si>
  <si>
    <t>Asset Mgmt, Agri</t>
  </si>
  <si>
    <t>B2B</t>
  </si>
  <si>
    <t>Monkey</t>
  </si>
  <si>
    <t>FinTech, Finance</t>
  </si>
  <si>
    <t>$19.6M</t>
  </si>
  <si>
    <t>$ 12.1M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</si>
  <si>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http://www.avenidas.pt</t>
    </r>
  </si>
  <si>
    <t>Gravia</t>
  </si>
  <si>
    <t>Series E</t>
  </si>
  <si>
    <t>Construction</t>
  </si>
  <si>
    <t>Taguatinga</t>
  </si>
  <si>
    <t>$149.1M</t>
  </si>
  <si>
    <t>B2B2C</t>
  </si>
  <si>
    <t>Zak</t>
  </si>
  <si>
    <t>FinTech, Food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</si>
  <si>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http://www.ubiwhere.com</t>
    </r>
  </si>
  <si>
    <t>Quanto</t>
  </si>
  <si>
    <t>Open Banking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</si>
  <si>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http://www.bladeinsight.com</t>
    </r>
  </si>
  <si>
    <t>$20M</t>
  </si>
  <si>
    <t>Liquid</t>
  </si>
  <si>
    <t>AI, PropTech</t>
  </si>
  <si>
    <t>$2.1M</t>
  </si>
  <si>
    <t>$ 2.1M</t>
  </si>
  <si>
    <t>deco.cx</t>
  </si>
  <si>
    <t>Trigger.Systems</t>
  </si>
  <si>
    <t>Agriculture Tech</t>
  </si>
  <si>
    <t>2 - 10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</si>
  <si>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https://trigger.systems/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</si>
  <si>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https://digitalworkssolution.com</t>
    </r>
  </si>
  <si>
    <t>DevTools, E-com</t>
  </si>
  <si>
    <t>$2.7M</t>
  </si>
  <si>
    <t>$ 2.2M</t>
  </si>
  <si>
    <t>Aravita</t>
  </si>
  <si>
    <t>AI, AgTech</t>
  </si>
  <si>
    <t>$2.5M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</si>
  <si>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https://merytu.com/</t>
    </r>
  </si>
  <si>
    <t>Visio.ai</t>
  </si>
  <si>
    <t>B2C</t>
  </si>
  <si>
    <t>AI, Comp. Vision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</si>
  <si>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https://merytu.com/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</si>
  <si>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http://www.magnifinance.com</t>
    </r>
  </si>
  <si>
    <t>Sallve</t>
  </si>
  <si>
    <t>Beauty, D2C</t>
  </si>
  <si>
    <t>$31.7M</t>
  </si>
  <si>
    <t>$ 20M</t>
  </si>
  <si>
    <t>NovaDAX</t>
  </si>
  <si>
    <t>Crypto, Trading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</si>
  <si>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http://www.magnifinance.com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</si>
  <si>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http://www.pluxbiosignals.com</t>
    </r>
  </si>
  <si>
    <t>Akad Seguros</t>
  </si>
  <si>
    <t>$22.5M</t>
  </si>
  <si>
    <t>$ 22.5M</t>
  </si>
  <si>
    <t>Portão 3</t>
  </si>
  <si>
    <t>Travel Mgmt</t>
  </si>
  <si>
    <t>Uberlândia</t>
  </si>
  <si>
    <t>$ 3.6M</t>
  </si>
  <si>
    <t>GeoInovaAI</t>
  </si>
  <si>
    <t>AgTech, Computer Vision</t>
  </si>
  <si>
    <t>https://geoinova.com.br/</t>
  </si>
  <si>
    <t>Voa Health</t>
  </si>
  <si>
    <t>AI, HealthTech</t>
  </si>
  <si>
    <t>$3.2M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</si>
  <si>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http://www.pluxbiosignals.com</t>
    </r>
  </si>
  <si>
    <t>Accountfy</t>
  </si>
  <si>
    <t>SaaS, Fin. Mgmt</t>
  </si>
  <si>
    <t>Akurateco</t>
  </si>
  <si>
    <t>Payments, SaaS</t>
  </si>
  <si>
    <t>$11M</t>
  </si>
  <si>
    <t>$ 4.5M</t>
  </si>
  <si>
    <t>https://akurateco.com/</t>
  </si>
  <si>
    <t>Sympla</t>
  </si>
  <si>
    <t>Events, Ticketing</t>
  </si>
  <si>
    <t>B. Horizonte</t>
  </si>
  <si>
    <t>$8.8M</t>
  </si>
  <si>
    <t>$ 4.8M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</si>
  <si>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http://www.missiontoescape.com</t>
    </r>
  </si>
  <si>
    <t>Frente</t>
  </si>
  <si>
    <t>FinTech, FX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</si>
  <si>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https://digitalmanager.guru</t>
    </r>
  </si>
  <si>
    <t>$6M</t>
  </si>
  <si>
    <t>$ 5.5M</t>
  </si>
  <si>
    <t>Avante</t>
  </si>
  <si>
    <t>FinTech, Credit</t>
  </si>
  <si>
    <t>$24.6M</t>
  </si>
  <si>
    <t>$ 5.8M</t>
  </si>
  <si>
    <t>Assis</t>
  </si>
  <si>
    <t>AI Assistant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</si>
  <si>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http://gfoundry.com</t>
    </r>
  </si>
  <si>
    <t>Click Cash</t>
  </si>
  <si>
    <t>Lending, Big Data</t>
  </si>
  <si>
    <t>$14.3M</t>
  </si>
  <si>
    <t>$ 6M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</si>
  <si>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https://digitalmanager.guru</t>
    </r>
  </si>
  <si>
    <t>Pink App</t>
  </si>
  <si>
    <t>Collaboration, SaaS</t>
  </si>
  <si>
    <t>Destaxa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</si>
  <si>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https://www.pinkapp.com/</t>
    </r>
  </si>
  <si>
    <t>$10.3M</t>
  </si>
  <si>
    <t>Konsi</t>
  </si>
  <si>
    <t>FinTech, Payroll Loans</t>
  </si>
  <si>
    <t>Bahia</t>
  </si>
  <si>
    <t>$1,611,770</t>
  </si>
  <si>
    <t>$1,000,000</t>
  </si>
  <si>
    <t>BlueMetrics</t>
  </si>
  <si>
    <t>Beegol</t>
  </si>
  <si>
    <t>AI, Data Analytics</t>
  </si>
  <si>
    <t>AI, Telecom</t>
  </si>
  <si>
    <t>$5,600,000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</si>
  <si>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http://gfoundry.com</t>
    </r>
  </si>
  <si>
    <t>https://www.bluemetrics.ai/</t>
  </si>
  <si>
    <t>Culttivo</t>
  </si>
  <si>
    <t>AgTech, Coffee Credit</t>
  </si>
  <si>
    <t>Early</t>
  </si>
  <si>
    <t>$16,547,191</t>
  </si>
  <si>
    <t>Med</t>
  </si>
  <si>
    <t>Fasqon</t>
  </si>
  <si>
    <t>FinTech, Neobank, Web3</t>
  </si>
  <si>
    <t>Funchal</t>
  </si>
  <si>
    <t>$1,300,000</t>
  </si>
  <si>
    <t>Albato</t>
  </si>
  <si>
    <t>Mobmio</t>
  </si>
  <si>
    <t>No-code, Automation, SaaS</t>
  </si>
  <si>
    <t>Setúbal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</si>
  <si>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http://www.growinportugal.com</t>
    </r>
  </si>
  <si>
    <t>Mobile Marketing</t>
  </si>
  <si>
    <t>https://mobmio.com/</t>
  </si>
  <si>
    <t>Itau Unibanco</t>
  </si>
  <si>
    <t>Post-IPO</t>
  </si>
  <si>
    <t>Banking</t>
  </si>
  <si>
    <t>$1.0B</t>
  </si>
  <si>
    <t>$1,000,000,000</t>
  </si>
  <si>
    <t>Codavel (2)</t>
  </si>
  <si>
    <t>Video CDN, Application Perf</t>
  </si>
  <si>
    <t>$3,298,430</t>
  </si>
  <si>
    <t>$1,043,455</t>
  </si>
  <si>
    <t>GigU</t>
  </si>
  <si>
    <t>Gig Economy, AI</t>
  </si>
  <si>
    <t>$1,200,000</t>
  </si>
  <si>
    <t>https://www.biomimetx.com/</t>
  </si>
  <si>
    <t>Saasuma</t>
  </si>
  <si>
    <t>Cloud Search Tool</t>
  </si>
  <si>
    <t>$1,250,000</t>
  </si>
  <si>
    <t>Latitud</t>
  </si>
  <si>
    <t>VC, Community</t>
  </si>
  <si>
    <t>$14,500,000</t>
  </si>
  <si>
    <t>$1,500,000</t>
  </si>
  <si>
    <t>Adv. Cyclone Sys</t>
  </si>
  <si>
    <t>Mechanical Eng, Mfg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</si>
  <si>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https://www.infinitefoundry.com/</t>
    </r>
  </si>
  <si>
    <t>impactMarket</t>
  </si>
  <si>
    <t>Blockchain, Web3, FinTech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</si>
  <si>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https://www.infinitefoundry.com/</t>
    </r>
  </si>
  <si>
    <t>Braga</t>
  </si>
  <si>
    <t>$2,100,000</t>
  </si>
  <si>
    <t>$1,600,000</t>
  </si>
  <si>
    <t>SeaForester</t>
  </si>
  <si>
    <t>Environmental Eng, Social</t>
  </si>
  <si>
    <t>Estoril</t>
  </si>
  <si>
    <t>$1,900,000</t>
  </si>
  <si>
    <t>UbiRider</t>
  </si>
  <si>
    <t>Fintech, SaaS</t>
  </si>
  <si>
    <t>Novvo</t>
  </si>
  <si>
    <t>Wellness, Consumer</t>
  </si>
  <si>
    <t>$1,950,000</t>
  </si>
  <si>
    <t>https://novvo.com.br/</t>
  </si>
  <si>
    <t>Sami</t>
  </si>
  <si>
    <t>Health Tech</t>
  </si>
  <si>
    <t>$66,231,000</t>
  </si>
  <si>
    <t>$10,000,000</t>
  </si>
  <si>
    <t>BHub</t>
  </si>
  <si>
    <t>AI Accountant, SaaS</t>
  </si>
  <si>
    <t>$56,421,560</t>
  </si>
  <si>
    <t>Monest</t>
  </si>
  <si>
    <t>Asset Recovery</t>
  </si>
  <si>
    <t>dr.consulta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</si>
  <si>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https://monest.com.br/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</si>
  <si>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http://beamian.com</t>
    </r>
  </si>
  <si>
    <t>HealthTech</t>
  </si>
  <si>
    <t>Late</t>
  </si>
  <si>
    <t>$178,601,756</t>
  </si>
  <si>
    <t>Genial Care</t>
  </si>
  <si>
    <t>HealthTech, Autism</t>
  </si>
  <si>
    <t>$31,005,209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</si>
  <si>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http://www.bitcliq.com</t>
    </r>
  </si>
  <si>
    <t>ParaRede</t>
  </si>
  <si>
    <t>E-Commerce, Marketplace</t>
  </si>
  <si>
    <t>1,266,521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</si>
  <si>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http://beamian.com</t>
    </r>
  </si>
  <si>
    <t>Kamino</t>
  </si>
  <si>
    <t>Financial OS, AI</t>
  </si>
  <si>
    <t>$20,170,000</t>
  </si>
  <si>
    <t>$10,120,000</t>
  </si>
  <si>
    <t>B-PARTS</t>
  </si>
  <si>
    <t>Flash</t>
  </si>
  <si>
    <t>Series C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</si>
  <si>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http://www.bitcliq.com</t>
    </r>
  </si>
  <si>
    <t>Employee Benefits</t>
  </si>
  <si>
    <t>$130,000,000</t>
  </si>
  <si>
    <t>$100,000,000</t>
  </si>
  <si>
    <t>Galaxies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</si>
  <si>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https://www.b-parts.com</t>
    </r>
  </si>
  <si>
    <t>Synthetic Personas, AI</t>
  </si>
  <si>
    <t>Banco do Brasil</t>
  </si>
  <si>
    <t>https://www.galaxies.com.br/</t>
  </si>
  <si>
    <t>Brasília</t>
  </si>
  <si>
    <t>$1.23B</t>
  </si>
  <si>
    <t>Pismo</t>
  </si>
  <si>
    <t>Core Banking, PaaS</t>
  </si>
  <si>
    <t>$118,000,000</t>
  </si>
  <si>
    <t>$108,000,000</t>
  </si>
  <si>
    <t>Creditas</t>
  </si>
  <si>
    <t>Series G</t>
  </si>
  <si>
    <t>FinTech, Lending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</si>
  <si>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https://inklusion.pt</t>
    </r>
  </si>
  <si>
    <t>$1.22B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</si>
  <si>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https://www.b-parts.com</t>
    </r>
  </si>
  <si>
    <t>DuelNow</t>
  </si>
  <si>
    <t>Sports Betting, Gambling</t>
  </si>
  <si>
    <t>$11,000,000</t>
  </si>
  <si>
    <t>BotCity</t>
  </si>
  <si>
    <t>RPA, GenAI</t>
  </si>
  <si>
    <t>VOLL</t>
  </si>
  <si>
    <t>Business Travel</t>
  </si>
  <si>
    <t>$15,000,000</t>
  </si>
  <si>
    <t>$12,000,000</t>
  </si>
  <si>
    <t>501 - 1000</t>
  </si>
  <si>
    <t>https://www.govoll.com/</t>
  </si>
  <si>
    <t>Nutrium</t>
  </si>
  <si>
    <t>Health, Nutrition</t>
  </si>
  <si>
    <t>Stattus4</t>
  </si>
  <si>
    <t>CleanTech, Water</t>
  </si>
  <si>
    <t>$19,935,543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</si>
  <si>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https://socialtalk.io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</si>
  <si>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https://stattus4.com/</t>
    </r>
  </si>
  <si>
    <t>Stratio</t>
  </si>
  <si>
    <t>Fleet Management</t>
  </si>
  <si>
    <t>$15,365,459</t>
  </si>
  <si>
    <t>PlatformE</t>
  </si>
  <si>
    <t>Fashion Tech, 3D, MTO</t>
  </si>
  <si>
    <t>$16,635,985</t>
  </si>
  <si>
    <t>NOMADX</t>
  </si>
  <si>
    <t>Travel, Marketplace</t>
  </si>
  <si>
    <t>Gringo</t>
  </si>
  <si>
    <t>http://nomadx.com/</t>
  </si>
  <si>
    <t>Car App, Fintech</t>
  </si>
  <si>
    <t>$90,268,052</t>
  </si>
  <si>
    <t>$12,500,000</t>
  </si>
  <si>
    <t>https://www.docdigitizer.com/</t>
  </si>
  <si>
    <t>GuestU</t>
  </si>
  <si>
    <t>Hospitality Tech, IoT</t>
  </si>
  <si>
    <t>$3,204,643</t>
  </si>
  <si>
    <t>$120,000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</si>
  <si>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https://inklusion.pt</t>
    </r>
  </si>
  <si>
    <t>MeshApp</t>
  </si>
  <si>
    <t>Mobile, Dev Tools</t>
  </si>
  <si>
    <t>3,984,685</t>
  </si>
  <si>
    <t>$375,000</t>
  </si>
  <si>
    <t>$125,000</t>
  </si>
  <si>
    <t>Celcoin</t>
  </si>
  <si>
    <t>Barueri</t>
  </si>
  <si>
    <t>$156,130,284</t>
  </si>
  <si>
    <t>$125,000,000</t>
  </si>
  <si>
    <t>https://www.codavel.com/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</si>
  <si>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https://socialtalk.io</t>
    </r>
  </si>
  <si>
    <t>$130,000</t>
  </si>
  <si>
    <t>Musa</t>
  </si>
  <si>
    <t>Waste Mgmt, B2B</t>
  </si>
  <si>
    <t>$18,500,000</t>
  </si>
  <si>
    <t>Codacy</t>
  </si>
  <si>
    <t>Dev Tools, SaaS</t>
  </si>
  <si>
    <t>$29,400,000</t>
  </si>
  <si>
    <t>BTG Pactual</t>
  </si>
  <si>
    <t>Banking, Asset Mgmt</t>
  </si>
  <si>
    <t>$2.67B</t>
  </si>
  <si>
    <t>$160,000,000</t>
  </si>
  <si>
    <t>10000 - +</t>
  </si>
  <si>
    <t>Polkastarter</t>
  </si>
  <si>
    <t>Blockchain, DeFi, Crowdfunding</t>
  </si>
  <si>
    <t>NeoSpace AI</t>
  </si>
  <si>
    <t>FinTech, AI</t>
  </si>
  <si>
    <t>https://pols.xyz/</t>
  </si>
  <si>
    <t>$18,000,000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</si>
  <si>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http://www.pitzi.com.br</t>
    </r>
  </si>
  <si>
    <t>iMotion</t>
  </si>
  <si>
    <t>Dev Tools, EDA</t>
  </si>
  <si>
    <t>Noodle</t>
  </si>
  <si>
    <t>Banking, Credit</t>
  </si>
  <si>
    <t>https://www.noodle.cx/</t>
  </si>
  <si>
    <t>Databox</t>
  </si>
  <si>
    <t>IT Distribution, Hardware</t>
  </si>
  <si>
    <t>Massamá</t>
  </si>
  <si>
    <t>2,213,005</t>
  </si>
  <si>
    <t>$180,000</t>
  </si>
  <si>
    <t>Olist</t>
  </si>
  <si>
    <t>E-Commerce Enabler</t>
  </si>
  <si>
    <t>$322,485,000</t>
  </si>
  <si>
    <t>$186,000,000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</si>
  <si>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https://www.delend.finance/</t>
    </r>
  </si>
  <si>
    <t>MadeiraMadeira</t>
  </si>
  <si>
    <t>E-Commerce, Home</t>
  </si>
  <si>
    <t>$338,820,267</t>
  </si>
  <si>
    <t>$190,000,000</t>
  </si>
  <si>
    <t>Arado</t>
  </si>
  <si>
    <t>AgTech, Supply Chain</t>
  </si>
  <si>
    <t>$21,370,375</t>
  </si>
  <si>
    <t>$2,000,000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</si>
  <si>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https://www.konsi.com.br/</t>
    </r>
  </si>
  <si>
    <t>Polygon</t>
  </si>
  <si>
    <t>Biometrics, IT Services</t>
  </si>
  <si>
    <t>$2,200,000</t>
  </si>
  <si>
    <t>e-Schooling</t>
  </si>
  <si>
    <t>EdTech, Apps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</si>
  <si>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http://dolado.com.br</t>
    </r>
  </si>
  <si>
    <t>STAGE</t>
  </si>
  <si>
    <t>Music, Internet</t>
  </si>
  <si>
    <t>$2,400,000</t>
  </si>
  <si>
    <t>https://www.beegol.com/</t>
  </si>
  <si>
    <t>180 Seguros</t>
  </si>
  <si>
    <t>$51,118,155</t>
  </si>
  <si>
    <t>$2,500,000</t>
  </si>
  <si>
    <t>Traive</t>
  </si>
  <si>
    <t>AgFintech, GenAI</t>
  </si>
  <si>
    <t>$50,800,000</t>
  </si>
  <si>
    <t>$20,000,000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</si>
  <si>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http://www.culttivo.com</t>
    </r>
  </si>
  <si>
    <t>https://farmtech.com.br/</t>
  </si>
  <si>
    <t>VELVET</t>
  </si>
  <si>
    <t>VC Liquidity</t>
  </si>
  <si>
    <t>$203,500,000</t>
  </si>
  <si>
    <t>$200,000,000</t>
  </si>
  <si>
    <t>UME</t>
  </si>
  <si>
    <t>$86,290,928</t>
  </si>
  <si>
    <t>$21,000,000</t>
  </si>
  <si>
    <t>https://fasqon.com/</t>
  </si>
  <si>
    <t>Unbabel</t>
  </si>
  <si>
    <t>AI, Translation</t>
  </si>
  <si>
    <t>$112,180,004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</si>
  <si>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https://www.monkey.tech</t>
    </r>
  </si>
  <si>
    <t>Alice</t>
  </si>
  <si>
    <t>Health Insurance</t>
  </si>
  <si>
    <t>https://albato.com/</t>
  </si>
  <si>
    <t>$216,300,000</t>
  </si>
  <si>
    <t>$22,000,000</t>
  </si>
  <si>
    <t>tembici.</t>
  </si>
  <si>
    <t>Micromobility</t>
  </si>
  <si>
    <t>$267,035,624</t>
  </si>
  <si>
    <t>$23,000,000</t>
  </si>
  <si>
    <t>251 - 500</t>
  </si>
  <si>
    <t>Good Chain</t>
  </si>
  <si>
    <t>Crypto Exchange</t>
  </si>
  <si>
    <t>Guarda</t>
  </si>
  <si>
    <t>https://www.zak.app/</t>
  </si>
  <si>
    <t>Eneva</t>
  </si>
  <si>
    <t>Energy, Oil &amp; Gas</t>
  </si>
  <si>
    <t>$239,000,000</t>
  </si>
  <si>
    <t>Hurb</t>
  </si>
  <si>
    <t>Travel Tech, AI</t>
  </si>
  <si>
    <t>$185,000,000</t>
  </si>
  <si>
    <t>$24,000,000</t>
  </si>
  <si>
    <t>quan.to</t>
  </si>
  <si>
    <t>Neon</t>
  </si>
  <si>
    <t>Manie</t>
  </si>
  <si>
    <t>Digital Bank, Credit</t>
  </si>
  <si>
    <t>Energy Mgmt, Consulting</t>
  </si>
  <si>
    <t>$845,670,734</t>
  </si>
  <si>
    <t>$25,000,000</t>
  </si>
  <si>
    <t>https://manie.pt/</t>
  </si>
  <si>
    <t>SWAP</t>
  </si>
  <si>
    <t>FinTech Partner</t>
  </si>
  <si>
    <t>$28,300,000</t>
  </si>
  <si>
    <t>Anybrain</t>
  </si>
  <si>
    <t>AI, Data Processing</t>
  </si>
  <si>
    <t>Goiânia</t>
  </si>
  <si>
    <t>https://anybrain.gg/</t>
  </si>
  <si>
    <t>$300,000</t>
  </si>
  <si>
    <t>$250,000</t>
  </si>
  <si>
    <t>https://www.aravita.com/</t>
  </si>
  <si>
    <t>NG.CASH</t>
  </si>
  <si>
    <t>GenZ Banking</t>
  </si>
  <si>
    <t>Processware</t>
  </si>
  <si>
    <t>$51,049,995</t>
  </si>
  <si>
    <t>$26,500,000</t>
  </si>
  <si>
    <t>IT Software</t>
  </si>
  <si>
    <t>https://www.processwaregroup.com/</t>
  </si>
  <si>
    <t>Capim</t>
  </si>
  <si>
    <t>Health Tech, BNPL</t>
  </si>
  <si>
    <t>$26,700,000</t>
  </si>
  <si>
    <t>https://www.visio.ai/</t>
  </si>
  <si>
    <t>Nubank</t>
  </si>
  <si>
    <t>Banking, FinTech</t>
  </si>
  <si>
    <t>$4.17B</t>
  </si>
  <si>
    <t>$265,100,000</t>
  </si>
  <si>
    <t>Enging</t>
  </si>
  <si>
    <t>Industrial IoT, Analytics</t>
  </si>
  <si>
    <t>Petrobras</t>
  </si>
  <si>
    <t>https://enging.pt/</t>
  </si>
  <si>
    <t>$11.55B</t>
  </si>
  <si>
    <t>$2B</t>
  </si>
  <si>
    <t>Agrolend</t>
  </si>
  <si>
    <t>AgFintech, Credit</t>
  </si>
  <si>
    <t>$162,578,377</t>
  </si>
  <si>
    <t>$3,000,000</t>
  </si>
  <si>
    <t>https://www.novadax.com.br/</t>
  </si>
  <si>
    <t>https://www.gigu.app/br</t>
  </si>
  <si>
    <t>Cumbuca</t>
  </si>
  <si>
    <t>$3,125,000</t>
  </si>
  <si>
    <t>pleez</t>
  </si>
  <si>
    <t>FoodTech, Data</t>
  </si>
  <si>
    <t>$6,970,906</t>
  </si>
  <si>
    <t>https://saasuma.com/</t>
  </si>
  <si>
    <t>FiberSensing</t>
  </si>
  <si>
    <t>Analytics, Hardware</t>
  </si>
  <si>
    <t>Maia</t>
  </si>
  <si>
    <t>3,472,483</t>
  </si>
  <si>
    <t>$3,110,000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</si>
  <si>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https://portao3.com.br</t>
    </r>
  </si>
  <si>
    <t>DIO</t>
  </si>
  <si>
    <t>EdTech, AI</t>
  </si>
  <si>
    <t>Virtuleap</t>
  </si>
  <si>
    <t>Health Tech, VR, Neuroscience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</si>
  <si>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https://dio.me</t>
    </r>
  </si>
  <si>
    <t>$4,904,500</t>
  </si>
  <si>
    <t>$3,300,000</t>
  </si>
  <si>
    <t>Lumx</t>
  </si>
  <si>
    <t>Web3, Stablecoins</t>
  </si>
  <si>
    <t>$3,400,000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</si>
  <si>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https://voa.health</t>
    </r>
  </si>
  <si>
    <t>Vertown</t>
  </si>
  <si>
    <t>Waste Mgmt, ESG</t>
  </si>
  <si>
    <t>https://vertown.keepo.bio/</t>
  </si>
  <si>
    <t>JBS</t>
  </si>
  <si>
    <t>Food Processing</t>
  </si>
  <si>
    <t>$7.75B</t>
  </si>
  <si>
    <t>$3.5B</t>
  </si>
  <si>
    <t>Kanastra</t>
  </si>
  <si>
    <t>https://www.accountfy.com/</t>
  </si>
  <si>
    <t>Alternative Inv.</t>
  </si>
  <si>
    <t>$63,748,062</t>
  </si>
  <si>
    <t>$30,000,000</t>
  </si>
  <si>
    <t>Coreflux</t>
  </si>
  <si>
    <t>IoT Platform, Data Mgmt</t>
  </si>
  <si>
    <t>https://www.coreflux.org/</t>
  </si>
  <si>
    <t>Mombak</t>
  </si>
  <si>
    <t>Carbon Removal</t>
  </si>
  <si>
    <t>$149,788,405</t>
  </si>
  <si>
    <t>https://produtores.sympla.com.br/</t>
  </si>
  <si>
    <t>Ethena</t>
  </si>
  <si>
    <t>Blockchain, DeFi</t>
  </si>
  <si>
    <t>$206,820,000</t>
  </si>
  <si>
    <t>Flecto</t>
  </si>
  <si>
    <t>Rental Platform, Circular Econ</t>
  </si>
  <si>
    <t>HDF</t>
  </si>
  <si>
    <t>https://flecto.io/</t>
  </si>
  <si>
    <t>Product Design, Furniture</t>
  </si>
  <si>
    <t>3,827,386</t>
  </si>
  <si>
    <t>$30,400</t>
  </si>
  <si>
    <t>Azos</t>
  </si>
  <si>
    <t>https://frentecorretora.com.br/</t>
  </si>
  <si>
    <t>$48,766,670</t>
  </si>
  <si>
    <t>$30,500,000</t>
  </si>
  <si>
    <t>Captei</t>
  </si>
  <si>
    <t>PropTech, BI</t>
  </si>
  <si>
    <t>https://captei.com.br/</t>
  </si>
  <si>
    <t>$406,400</t>
  </si>
  <si>
    <t>Azul SA</t>
  </si>
  <si>
    <t>Airlines</t>
  </si>
  <si>
    <t>$3.56B</t>
  </si>
  <si>
    <t>$300,000,000</t>
  </si>
  <si>
    <t>EqSeed</t>
  </si>
  <si>
    <t>Equity Crowdfunding</t>
  </si>
  <si>
    <t>IO5 Networks</t>
  </si>
  <si>
    <t>IoT, Network Hardware</t>
  </si>
  <si>
    <t>$32,700,000</t>
  </si>
  <si>
    <t>$31,000,000</t>
  </si>
  <si>
    <t>https://eqseed.com/</t>
  </si>
  <si>
    <t>https://destaxa.com.br/</t>
  </si>
  <si>
    <t>ArchVentures SA</t>
  </si>
  <si>
    <t>3D Printing, FinTech</t>
  </si>
  <si>
    <t>3,326,355</t>
  </si>
  <si>
    <t>$328,000</t>
  </si>
  <si>
    <t>Enter</t>
  </si>
  <si>
    <t>Legal Tech, AI</t>
  </si>
  <si>
    <t>$40,500,000</t>
  </si>
  <si>
    <t>$35,000,000</t>
  </si>
  <si>
    <t>OurSupport</t>
  </si>
  <si>
    <t>IT Support, Platform</t>
  </si>
  <si>
    <t>oursupport.co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</si>
  <si>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https://www.konsi.com.br/</t>
    </r>
  </si>
  <si>
    <t>GuestCentric</t>
  </si>
  <si>
    <t>Hotel Ecommerce, Travel</t>
  </si>
  <si>
    <t>$5,250,000</t>
  </si>
  <si>
    <t>$4,000,000</t>
  </si>
  <si>
    <t>Zharta</t>
  </si>
  <si>
    <t>NFT Lending, FinTech</t>
  </si>
  <si>
    <t>$4,300,000</t>
  </si>
  <si>
    <t>Meight</t>
  </si>
  <si>
    <t>Eco-driving, Software</t>
  </si>
  <si>
    <t>Trisolaris</t>
  </si>
  <si>
    <t>https://www.meight.com/</t>
  </si>
  <si>
    <t>Blockchain, DEX</t>
  </si>
  <si>
    <t>$4,500,000</t>
  </si>
  <si>
    <t>BABOOM</t>
  </si>
  <si>
    <t>Music Industry, Publishing</t>
  </si>
  <si>
    <t>1,460,543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</si>
  <si>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http://www.culttivo.com</t>
    </r>
  </si>
  <si>
    <t>Zaask</t>
  </si>
  <si>
    <t>Local Marketplace</t>
  </si>
  <si>
    <t>Ruvo</t>
  </si>
  <si>
    <t>Crypto, Global Acc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</si>
  <si>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https://www.zaask.com</t>
    </r>
  </si>
  <si>
    <t>$5,100,000</t>
  </si>
  <si>
    <t>$4,600,000</t>
  </si>
  <si>
    <t>Onfly</t>
  </si>
  <si>
    <t>Travel Tech, SaaS</t>
  </si>
  <si>
    <t>Belo Horiz.</t>
  </si>
  <si>
    <t>$56,613,109</t>
  </si>
  <si>
    <t>$40,000,000</t>
  </si>
  <si>
    <t>Logistics, ML</t>
  </si>
  <si>
    <t>Carbonext</t>
  </si>
  <si>
    <t>ESG, Carbon Credits</t>
  </si>
  <si>
    <t>$45,784,583</t>
  </si>
  <si>
    <t>DeepNeuronic</t>
  </si>
  <si>
    <t>ML, Consulting, IT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</si>
  <si>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https://www.deepneuronic.com</t>
    </r>
  </si>
  <si>
    <t>$735,093</t>
  </si>
  <si>
    <t>$400,000</t>
  </si>
  <si>
    <t>Vammo</t>
  </si>
  <si>
    <t>Electric Motorcycles</t>
  </si>
  <si>
    <t>$89,029,037</t>
  </si>
  <si>
    <t>$45,000,000</t>
  </si>
  <si>
    <t>Salvy</t>
  </si>
  <si>
    <t>Telecom, SaaS</t>
  </si>
  <si>
    <t>https://salvy.com.br/</t>
  </si>
  <si>
    <t>Stark Bank</t>
  </si>
  <si>
    <t>Digital Bank B2B</t>
  </si>
  <si>
    <t>$59,956,555</t>
  </si>
  <si>
    <t>Magie</t>
  </si>
  <si>
    <t>Nuvia</t>
  </si>
  <si>
    <t>WhatsApp Banking</t>
  </si>
  <si>
    <t>Sales AI</t>
  </si>
  <si>
    <t>$10,116,153</t>
  </si>
  <si>
    <t>$5,000,000</t>
  </si>
  <si>
    <t>https://www.nuvia.co/</t>
  </si>
  <si>
    <t>Advolve AI</t>
  </si>
  <si>
    <t>AdTech, AI</t>
  </si>
  <si>
    <t>https://www.advancedcyclonesystems.com/</t>
  </si>
  <si>
    <t>$6,500,000</t>
  </si>
  <si>
    <t>Wegho</t>
  </si>
  <si>
    <t>Home Services, Digital</t>
  </si>
  <si>
    <t>https://www.wegho.com/</t>
  </si>
  <si>
    <t>Jscrambler</t>
  </si>
  <si>
    <t>Cyber Security</t>
  </si>
  <si>
    <t>$22,500,000</t>
  </si>
  <si>
    <t>$5,200,000</t>
  </si>
  <si>
    <t>BEMAGRO</t>
  </si>
  <si>
    <t>AgTech, AI</t>
  </si>
  <si>
    <t>$10,611,877</t>
  </si>
  <si>
    <t>$5,800,000</t>
  </si>
  <si>
    <t>PluggableAI</t>
  </si>
  <si>
    <t>Fan Engagement, AI</t>
  </si>
  <si>
    <t>https://www.fanofthematch.ai/</t>
  </si>
  <si>
    <t>$500,000</t>
  </si>
  <si>
    <t>Zenvia</t>
  </si>
  <si>
    <t>SaaS, PaaS</t>
  </si>
  <si>
    <t>https://ubirider.com/</t>
  </si>
  <si>
    <t>$82,675,850</t>
  </si>
  <si>
    <t>$54,000,000</t>
  </si>
  <si>
    <t>LUGGit</t>
  </si>
  <si>
    <t>Travel Tech, Logistics</t>
  </si>
  <si>
    <t>Inventa</t>
  </si>
  <si>
    <t>Wholesale B2B</t>
  </si>
  <si>
    <t>https://luggit.app/</t>
  </si>
  <si>
    <t>$80,358,865</t>
  </si>
  <si>
    <t>$55,000,000</t>
  </si>
  <si>
    <t>https://www.samisaude.com.br/</t>
  </si>
  <si>
    <t>Cayena</t>
  </si>
  <si>
    <t>B2B Marketplace, Food</t>
  </si>
  <si>
    <t>$89,550,000</t>
  </si>
  <si>
    <t>Mara</t>
  </si>
  <si>
    <t>E-Commerce, Grocery</t>
  </si>
  <si>
    <t>$6,000,000</t>
  </si>
  <si>
    <t>https://bhub.com/</t>
  </si>
  <si>
    <t>nuvini</t>
  </si>
  <si>
    <t>Cloud Software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</si>
  <si>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http://sobre.arado.com.br</t>
    </r>
  </si>
  <si>
    <t>Tivita</t>
  </si>
  <si>
    <t>1000 - 5000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</si>
  <si>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http://www.drconsulta.com</t>
    </r>
  </si>
  <si>
    <t>Musiversal</t>
  </si>
  <si>
    <t>Music, Marketplace</t>
  </si>
  <si>
    <t>$12,134,606</t>
  </si>
  <si>
    <t>Glartek</t>
  </si>
  <si>
    <t>AR, Manufacturing</t>
  </si>
  <si>
    <t>Chipidea</t>
  </si>
  <si>
    <t>Semiconductor, Wireless</t>
  </si>
  <si>
    <t>https://glartek.com/</t>
  </si>
  <si>
    <t>$27,500,000</t>
  </si>
  <si>
    <t>$6,600,000</t>
  </si>
  <si>
    <t>https://genialcare.com.br/</t>
  </si>
  <si>
    <t>Blip</t>
  </si>
  <si>
    <t>AI, Chatbots</t>
  </si>
  <si>
    <t>$230,000,000</t>
  </si>
  <si>
    <t>$60,000,000</t>
  </si>
  <si>
    <t>BM2Solar</t>
  </si>
  <si>
    <t>QI Tech</t>
  </si>
  <si>
    <t>Solar Energy</t>
  </si>
  <si>
    <t>Banking-as-a-Service</t>
  </si>
  <si>
    <t>$375,000,000</t>
  </si>
  <si>
    <t>$63,000,000</t>
  </si>
  <si>
    <t>https://kamino.com.br/</t>
  </si>
  <si>
    <t>https://www.bm2solar.com/</t>
  </si>
  <si>
    <t>$103,000</t>
  </si>
  <si>
    <t>$65,000</t>
  </si>
  <si>
    <t>Didimo</t>
  </si>
  <si>
    <t>3D, AI, Avatars</t>
  </si>
  <si>
    <t>$16,048,983</t>
  </si>
  <si>
    <t>$7,150,000</t>
  </si>
  <si>
    <t>Comudel</t>
  </si>
  <si>
    <t>https://flashapp.com.br/</t>
  </si>
  <si>
    <t>AI, Fin. Services</t>
  </si>
  <si>
    <t>https://comudel.com/</t>
  </si>
  <si>
    <t>Multiwave Phot.</t>
  </si>
  <si>
    <t>Fiber-optic, Hardware</t>
  </si>
  <si>
    <t>$7,720,000</t>
  </si>
  <si>
    <t>$1,450,000</t>
  </si>
  <si>
    <t>$700,000</t>
  </si>
  <si>
    <t>FULLVENUE</t>
  </si>
  <si>
    <t>AI Marketing, AdTech</t>
  </si>
  <si>
    <t>https://www.fullvenue.ai/</t>
  </si>
  <si>
    <t>Feedzai</t>
  </si>
  <si>
    <t>Fintech, AI, Fraud</t>
  </si>
  <si>
    <t>Late Stage</t>
  </si>
  <si>
    <t>$352,465,392</t>
  </si>
  <si>
    <t>$75,000,000</t>
  </si>
  <si>
    <t>https://www.pismo.io/</t>
  </si>
  <si>
    <t>Sqill</t>
  </si>
  <si>
    <t>$750,000</t>
  </si>
  <si>
    <t>Video App, Sports Marketing</t>
  </si>
  <si>
    <t>https://www.creditas.com/</t>
  </si>
  <si>
    <t>https://sqill.so/</t>
  </si>
  <si>
    <t>Vale</t>
  </si>
  <si>
    <t>Mining</t>
  </si>
  <si>
    <t>$8.88B</t>
  </si>
  <si>
    <t>$750,000,000</t>
  </si>
  <si>
    <t>Netsonda</t>
  </si>
  <si>
    <t>Landing.Jobs</t>
  </si>
  <si>
    <t>Market Research, Software</t>
  </si>
  <si>
    <t>$794,000</t>
  </si>
  <si>
    <t>https://duelnow.com/</t>
  </si>
  <si>
    <t>Barte</t>
  </si>
  <si>
    <t>B2B Payments</t>
  </si>
  <si>
    <t>$12,200,000</t>
  </si>
  <si>
    <t>$8,000,000</t>
  </si>
  <si>
    <t>HR Tech, Recruiting</t>
  </si>
  <si>
    <t>https://landing.jobs/</t>
  </si>
  <si>
    <t>Bairro Direct</t>
  </si>
  <si>
    <t>Retail, Logistics</t>
  </si>
  <si>
    <t>$5,403,293</t>
  </si>
  <si>
    <t>$800,000</t>
  </si>
  <si>
    <t>https://botcity.dev/</t>
  </si>
  <si>
    <t>Jusbrasil</t>
  </si>
  <si>
    <t>Legal Tech, Big Data</t>
  </si>
  <si>
    <t>Biometrid</t>
  </si>
  <si>
    <t>$128,049,406</t>
  </si>
  <si>
    <t>$86,100,826</t>
  </si>
  <si>
    <r>
      <rPr>
        <rFont val="Arial"/>
        <color rgb="FF1155CC"/>
        <u/>
      </rPr>
      <t>www.biometrid.com</t>
    </r>
  </si>
  <si>
    <t>https://nutrium.com/</t>
  </si>
  <si>
    <t>$875,000</t>
  </si>
  <si>
    <t>Telepatia</t>
  </si>
  <si>
    <t>Health Tech, AI</t>
  </si>
  <si>
    <t>$9,000,000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</si>
  <si>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http://www.e-schooling.com</t>
    </r>
  </si>
  <si>
    <t>HealthTech, AI</t>
  </si>
  <si>
    <t>https://stratioautomotive.com/</t>
  </si>
  <si>
    <t>The App3</t>
  </si>
  <si>
    <t>Healthcare Apps, Consulting</t>
  </si>
  <si>
    <t>3,993,582</t>
  </si>
  <si>
    <t>$90,000</t>
  </si>
  <si>
    <t>Tecnofit</t>
  </si>
  <si>
    <t>Wellness, SaaS</t>
  </si>
  <si>
    <t>Semantix</t>
  </si>
  <si>
    <t>Big Data, AI</t>
  </si>
  <si>
    <t>https://www.tecnofit.com.br/</t>
  </si>
  <si>
    <t>$109,000,000</t>
  </si>
  <si>
    <t>$94,000,000</t>
  </si>
  <si>
    <t>TEKEVER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</si>
  <si>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http://www.platforme.com</t>
    </r>
  </si>
  <si>
    <t>1001-5000</t>
  </si>
  <si>
    <t>Aerospace, Software</t>
  </si>
  <si>
    <t>$630,669,891</t>
  </si>
  <si>
    <t>£400,000,000</t>
  </si>
  <si>
    <t>Attentive</t>
  </si>
  <si>
    <t>BI, CRM, Slack</t>
  </si>
  <si>
    <t>Hoopers</t>
  </si>
  <si>
    <t>$2,327,296</t>
  </si>
  <si>
    <t>Sports Tech, Communities</t>
  </si>
  <si>
    <t>€1,000,000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</si>
  <si>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https://hoopers.club/</t>
    </r>
  </si>
  <si>
    <t>https://gringo.com.vc/</t>
  </si>
  <si>
    <t>Nonius</t>
  </si>
  <si>
    <t>Cloud Infrastructure</t>
  </si>
  <si>
    <t>https://www.stage.community/</t>
  </si>
  <si>
    <t>https://noniussolutions.com/</t>
  </si>
  <si>
    <t>Girissima</t>
  </si>
  <si>
    <t>Fashion E-Commerce</t>
  </si>
  <si>
    <t>2,205,956</t>
  </si>
  <si>
    <t>Viseu</t>
  </si>
  <si>
    <t>€1,110,000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</si>
  <si>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https://www.celcoin.com.br/</t>
    </r>
  </si>
  <si>
    <t>€1,200,000</t>
  </si>
  <si>
    <t>€1,400,000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</si>
  <si>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https://trigger.systems/</t>
    </r>
  </si>
  <si>
    <t>Azores</t>
  </si>
  <si>
    <t>€2,055,000</t>
  </si>
  <si>
    <t>€1,300,000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</si>
  <si>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https://180s.com.br</t>
    </r>
  </si>
  <si>
    <t>Heden</t>
  </si>
  <si>
    <t>Coworking, Real Estate</t>
  </si>
  <si>
    <t>https://www.musa.co/</t>
  </si>
  <si>
    <t>Solides</t>
  </si>
  <si>
    <t>HR Tech, People Analytics</t>
  </si>
  <si>
    <t>FuelSave.io</t>
  </si>
  <si>
    <t>https://solides.com.br/</t>
  </si>
  <si>
    <t>https://www.codacy.com/</t>
  </si>
  <si>
    <t>HiJiffy</t>
  </si>
  <si>
    <t>Évora</t>
  </si>
  <si>
    <t>Hospitality Tech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</si>
  <si>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https://www.hijiffy.com/</t>
    </r>
  </si>
  <si>
    <t>5000 - 1000</t>
  </si>
  <si>
    <t>€2,140,000</t>
  </si>
  <si>
    <t>https://www.neospace.ai/</t>
  </si>
  <si>
    <t>Cargofive</t>
  </si>
  <si>
    <t>Logistics, IT</t>
  </si>
  <si>
    <t>https://cargofive.com/</t>
  </si>
  <si>
    <t>€1,500,000</t>
  </si>
  <si>
    <t>Miles in the Sky</t>
  </si>
  <si>
    <t>EdTech, Education</t>
  </si>
  <si>
    <t>https://imotion.pt/</t>
  </si>
  <si>
    <t>Nortech AI</t>
  </si>
  <si>
    <t>Industrial IoT, Consulting</t>
  </si>
  <si>
    <t>SMARKIO</t>
  </si>
  <si>
    <t>Digital Marketing, BI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</si>
  <si>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https://www.nortech.a</t>
    </r>
  </si>
  <si>
    <t>Wizdee</t>
  </si>
  <si>
    <t>NLP, Analytics, AI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</si>
  <si>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https://olist.com</t>
    </r>
  </si>
  <si>
    <t>Sound Particles</t>
  </si>
  <si>
    <t>Audio Software, 3D</t>
  </si>
  <si>
    <t>https://www.soundparticles.com/</t>
  </si>
  <si>
    <t>€1,700,000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</si>
  <si>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https://www.madeiramadeira.com.br/</t>
    </r>
  </si>
  <si>
    <t>€1,850,001</t>
  </si>
  <si>
    <t>€1,750,000</t>
  </si>
  <si>
    <t>Aveiro</t>
  </si>
  <si>
    <t>€2,200,000</t>
  </si>
  <si>
    <t>€1,800,000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</si>
  <si>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https://voa.health</t>
    </r>
  </si>
  <si>
    <t>Lyzer</t>
  </si>
  <si>
    <t>E-Commerce, Delivery</t>
  </si>
  <si>
    <t>€11,050,000</t>
  </si>
  <si>
    <t>€10,000,000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</si>
  <si>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http://sobre.arado.com.br</t>
    </r>
  </si>
  <si>
    <t>https://agrolend.agr.br/</t>
  </si>
  <si>
    <t>RealFevr</t>
  </si>
  <si>
    <t>eSports, NFT, Soccer</t>
  </si>
  <si>
    <t>€15,400,000</t>
  </si>
  <si>
    <t>Biosurfit</t>
  </si>
  <si>
    <r>
      <rPr>
        <rFont val="Arial"/>
        <color rgb="FF1155CC"/>
        <u/>
      </rPr>
      <t>www.biometrid.com</t>
    </r>
  </si>
  <si>
    <t>Biotech, Health Diag</t>
  </si>
  <si>
    <t>https://www.cumbuca.com/</t>
  </si>
  <si>
    <t>Eneida</t>
  </si>
  <si>
    <t>AI, Power Grid</t>
  </si>
  <si>
    <t>€16,150,000</t>
  </si>
  <si>
    <t>€10,500,000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</si>
  <si>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http://www.e-schooling.com</t>
    </r>
  </si>
  <si>
    <t>Tonic App</t>
  </si>
  <si>
    <t>Health Care, Medical</t>
  </si>
  <si>
    <t>€14,350,000</t>
  </si>
  <si>
    <t>€10,850,000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</si>
  <si>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http://www.trypleez.com</t>
    </r>
  </si>
  <si>
    <t>GreenVolt</t>
  </si>
  <si>
    <t>€100,000,000</t>
  </si>
  <si>
    <t>Morada.ai</t>
  </si>
  <si>
    <t>BRAINR</t>
  </si>
  <si>
    <t>Food Ind, Automation</t>
  </si>
  <si>
    <t>AI, Real Estate</t>
  </si>
  <si>
    <t>€11,000,000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</si>
  <si>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https://180s.com.br</t>
    </r>
  </si>
  <si>
    <t>https://morada.ai/</t>
  </si>
  <si>
    <t>Cleanwatts</t>
  </si>
  <si>
    <t>Clean Energy, SaaS</t>
  </si>
  <si>
    <t>€16,700,000</t>
  </si>
  <si>
    <t>€15,000,000</t>
  </si>
  <si>
    <t>Cromai</t>
  </si>
  <si>
    <t>AgTech, AI/ML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</si>
  <si>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https://traive.com.br/</t>
    </r>
  </si>
  <si>
    <t>CarboCode</t>
  </si>
  <si>
    <t>Biotech, Health</t>
  </si>
  <si>
    <t>https://www.cromai.com/</t>
  </si>
  <si>
    <t>Cantanhede</t>
  </si>
  <si>
    <t>Oceano Fresco</t>
  </si>
  <si>
    <t>Aquaculture, Food</t>
  </si>
  <si>
    <t>Mira</t>
  </si>
  <si>
    <t>€19,700,000</t>
  </si>
  <si>
    <t>€17,000,000</t>
  </si>
  <si>
    <t>Bipa</t>
  </si>
  <si>
    <t>Bitcoin, Lightning</t>
  </si>
  <si>
    <t>https://bipa.app/</t>
  </si>
  <si>
    <t>Grupo Impresa</t>
  </si>
  <si>
    <t>Media, Entertainment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</si>
  <si>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https://ume.com.br/</t>
    </r>
  </si>
  <si>
    <t>€17,325,000</t>
  </si>
  <si>
    <t>Infraspeak</t>
  </si>
  <si>
    <t>Facility Mgmt, SaaS</t>
  </si>
  <si>
    <t>GoParity</t>
  </si>
  <si>
    <t>Fintech, CleanTech</t>
  </si>
  <si>
    <t>$39,410,667</t>
  </si>
  <si>
    <t>€18,000,000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</si>
  <si>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http://www.goparity.com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</si>
  <si>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https://unbabel.com</t>
    </r>
  </si>
  <si>
    <t>BIZAY</t>
  </si>
  <si>
    <t>B2B, E-Commerce</t>
  </si>
  <si>
    <t>€72,250,000</t>
  </si>
  <si>
    <t>€3,500,000</t>
  </si>
  <si>
    <t>proGrow</t>
  </si>
  <si>
    <t>€2,000,000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</si>
  <si>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http://www.alice.com.b</t>
    </r>
  </si>
  <si>
    <t>IoT, SaaS, Industrial</t>
  </si>
  <si>
    <t>https://www.progrow.ai/</t>
  </si>
  <si>
    <t>€2,750,000</t>
  </si>
  <si>
    <t>Barkyn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</si>
  <si>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http://www.tembici.com.br</t>
    </r>
  </si>
  <si>
    <t>Pet Care, E-Comm</t>
  </si>
  <si>
    <t>https://barkyn.com/</t>
  </si>
  <si>
    <t>€2,100,000</t>
  </si>
  <si>
    <t>LoopOS</t>
  </si>
  <si>
    <t>ERP, SaaS, Circular</t>
  </si>
  <si>
    <t>https://www.getloopos.com/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</si>
  <si>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https://www.neon.com.br/</t>
    </r>
  </si>
  <si>
    <t>TAIKAI Labs</t>
  </si>
  <si>
    <t>WEEZIE</t>
  </si>
  <si>
    <t>Blockchain, HR Tech</t>
  </si>
  <si>
    <t>Fiber Network Software</t>
  </si>
  <si>
    <t>$2,827,087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</si>
  <si>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https://weezie.io</t>
    </r>
  </si>
  <si>
    <t>Forall Phones</t>
  </si>
  <si>
    <t>E-Commerce, Refurbished</t>
  </si>
  <si>
    <t>€4,530,000</t>
  </si>
  <si>
    <t>https://www.swap.financial/</t>
  </si>
  <si>
    <t>Colmeia</t>
  </si>
  <si>
    <t>SaaS, Telecom</t>
  </si>
  <si>
    <t>https://colmeia.cx/</t>
  </si>
  <si>
    <t>Kinematix</t>
  </si>
  <si>
    <t>Wearables, Biomechanics</t>
  </si>
  <si>
    <t>Inductiva Labs</t>
  </si>
  <si>
    <t>Computing Platform</t>
  </si>
  <si>
    <t>€2,250,000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</si>
  <si>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http://www.virtuleap.com</t>
    </r>
  </si>
  <si>
    <t>$5,823,441</t>
  </si>
  <si>
    <t>€2,500,000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</si>
  <si>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https://ng.cash/</t>
    </r>
  </si>
  <si>
    <t>$4,803,671</t>
  </si>
  <si>
    <t>https://lumx.io/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</si>
  <si>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http://www.capim.com.br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</si>
  <si>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https://portao3.com.br</t>
    </r>
  </si>
  <si>
    <t>€7,818,577</t>
  </si>
  <si>
    <t>€4,600,000</t>
  </si>
  <si>
    <t>Indie Campers</t>
  </si>
  <si>
    <t>Travel, Leisure</t>
  </si>
  <si>
    <t>Exato Digital</t>
  </si>
  <si>
    <t>€62,500,000</t>
  </si>
  <si>
    <t>Background Check</t>
  </si>
  <si>
    <t>€27,500,000</t>
  </si>
  <si>
    <t>https://exato.digital/</t>
  </si>
  <si>
    <t>Bloq.it</t>
  </si>
  <si>
    <t>IoT, Logistics</t>
  </si>
  <si>
    <t>Hole19</t>
  </si>
  <si>
    <t>€29,500,000</t>
  </si>
  <si>
    <t>Golf App, Marketplace</t>
  </si>
  <si>
    <t>€28,000,000</t>
  </si>
  <si>
    <t>https://www.hole19golf.com/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</si>
  <si>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http://www.trypleez.com</t>
    </r>
  </si>
  <si>
    <t>€10,800,000</t>
  </si>
  <si>
    <t>€3,000,000</t>
  </si>
  <si>
    <t>Spotlite</t>
  </si>
  <si>
    <t>Remote Sensing</t>
  </si>
  <si>
    <t>https://spotlitedata.com/</t>
  </si>
  <si>
    <t>€3,525,000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</si>
  <si>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http://www.virtuleap.com</t>
    </r>
  </si>
  <si>
    <t>Kitch</t>
  </si>
  <si>
    <t>Food Delivery</t>
  </si>
  <si>
    <t>€4,250,000</t>
  </si>
  <si>
    <t>€3,250,000</t>
  </si>
  <si>
    <t>DreamShaper</t>
  </si>
  <si>
    <t>EdTech, E-Learning</t>
  </si>
  <si>
    <t>https://www.dreamshaper.com/</t>
  </si>
  <si>
    <t>€4,700,000</t>
  </si>
  <si>
    <t>€3,400,000</t>
  </si>
  <si>
    <t>Liti</t>
  </si>
  <si>
    <t>Health Care</t>
  </si>
  <si>
    <t>https://liti.com.br/pt</t>
  </si>
  <si>
    <t>€3,465,000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</si>
  <si>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www.kanastra.com.br</t>
    </r>
  </si>
  <si>
    <t>€5,000,000</t>
  </si>
  <si>
    <t>https://guestcentric.com/</t>
  </si>
  <si>
    <t>ETHIACK</t>
  </si>
  <si>
    <t>AI, Cyber Security</t>
  </si>
  <si>
    <t>https://ethena.fi/</t>
  </si>
  <si>
    <t>€4,078,000</t>
  </si>
  <si>
    <t>€4,000,000</t>
  </si>
  <si>
    <t>https://www.zharta.io/</t>
  </si>
  <si>
    <t>Visor.ai</t>
  </si>
  <si>
    <t>AI, Customer Service, ML</t>
  </si>
  <si>
    <t>https://www.azos.com.br/</t>
  </si>
  <si>
    <t>€4,907,000</t>
  </si>
  <si>
    <t>€4,400,000</t>
  </si>
  <si>
    <t>https://ethiack.com/</t>
  </si>
  <si>
    <t>Jungle AI</t>
  </si>
  <si>
    <t>AI, Energy</t>
  </si>
  <si>
    <t>Automaise</t>
  </si>
  <si>
    <t>AI, Customer Service</t>
  </si>
  <si>
    <t>€6,000,000</t>
  </si>
  <si>
    <t>sheerME</t>
  </si>
  <si>
    <t>Wellness, E-Comm</t>
  </si>
  <si>
    <t>Daki</t>
  </si>
  <si>
    <t>Paço Arcos</t>
  </si>
  <si>
    <t>Rapid Delivery, Food</t>
  </si>
  <si>
    <t>$8,941,252</t>
  </si>
  <si>
    <t>https://apps.apple.com/us/app/daki-mercado-em-15-minutos/id1542429806</t>
  </si>
  <si>
    <t>Exclusible</t>
  </si>
  <si>
    <t>NFT, Web3</t>
  </si>
  <si>
    <t>€7,200,000</t>
  </si>
  <si>
    <t>https://www.getenter.ai/</t>
  </si>
  <si>
    <t>EVIO</t>
  </si>
  <si>
    <t>Electric Mobility, SaaS</t>
  </si>
  <si>
    <t>https://ruvo.com/pt</t>
  </si>
  <si>
    <t>GoWithFlow</t>
  </si>
  <si>
    <t>Sustainable Mobility</t>
  </si>
  <si>
    <t>Reckon.ai</t>
  </si>
  <si>
    <t>Setor</t>
  </si>
  <si>
    <t>Tipo de Financiamento</t>
  </si>
  <si>
    <t>Faixa de HC</t>
  </si>
  <si>
    <t>Funcionários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</si>
  <si>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https://www.visor.ai</t>
    </r>
  </si>
  <si>
    <t>Idade (anos)</t>
  </si>
  <si>
    <t>Total Captado (USD)</t>
  </si>
  <si>
    <t>AI, Retail Tech</t>
  </si>
  <si>
    <t>Captação per HC</t>
  </si>
  <si>
    <t>€6,600,000</t>
  </si>
  <si>
    <t>Último Aporte per HC</t>
  </si>
  <si>
    <t>€5,100,000</t>
  </si>
  <si>
    <t>Intensidade Histórica (Total Captado/Anos de fundação)</t>
  </si>
  <si>
    <t>Momentum (%ult aporte/total captado)</t>
  </si>
  <si>
    <t>N Tecnologias</t>
  </si>
  <si>
    <t>Modelo de NegÃ³cio</t>
  </si>
  <si>
    <t>Primetag</t>
  </si>
  <si>
    <t>Marketing, AdTech</t>
  </si>
  <si>
    <t>http://gfoundry.com</t>
  </si>
  <si>
    <t>€10,565,000</t>
  </si>
  <si>
    <t>€5,600,000</t>
  </si>
  <si>
    <t>Mediaprobe</t>
  </si>
  <si>
    <t>Neuroscience, Research</t>
  </si>
  <si>
    <t>https://magie.com.br/</t>
  </si>
  <si>
    <t>€6,100,000</t>
  </si>
  <si>
    <t>https://www.onfly.com.br/</t>
  </si>
  <si>
    <t>Elleve</t>
  </si>
  <si>
    <t>FinTech, Ed. Credit</t>
  </si>
  <si>
    <t>Millennium Bank</t>
  </si>
  <si>
    <t>http://www.elleve.com.br/</t>
  </si>
  <si>
    <t>Porto/Lisboa</t>
  </si>
  <si>
    <t>€500,000,000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</si>
  <si>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https://www.pinkapp.com/</t>
    </r>
  </si>
  <si>
    <t>OSCAR</t>
  </si>
  <si>
    <t>Home Services, App</t>
  </si>
  <si>
    <t>€13,100,000</t>
  </si>
  <si>
    <t>https://jscrambler.com/</t>
  </si>
  <si>
    <t>Ophiomics</t>
  </si>
  <si>
    <t>Biotech, Medtech</t>
  </si>
  <si>
    <t>€8,152,385</t>
  </si>
  <si>
    <t>https://www.jungle.ai/</t>
  </si>
  <si>
    <t>Ando Living Group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</si>
  <si>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https://starkbank.com</t>
    </r>
  </si>
  <si>
    <t>Hospitality, Luxury Hotels</t>
  </si>
  <si>
    <t>€67,000,000</t>
  </si>
  <si>
    <t>http://www.bandorasystems.com</t>
  </si>
  <si>
    <t>UpHill</t>
  </si>
  <si>
    <t>Digital Health</t>
  </si>
  <si>
    <t>€11,150,000</t>
  </si>
  <si>
    <t>€7,000,000</t>
  </si>
  <si>
    <t>https://www.automaise.com/</t>
  </si>
  <si>
    <t>Splink</t>
  </si>
  <si>
    <t>AR, Sports Tech</t>
  </si>
  <si>
    <t>€7,600,000</t>
  </si>
  <si>
    <t>Energias de PT</t>
  </si>
  <si>
    <t>Energy, Renewable</t>
  </si>
  <si>
    <t>€1,450,000,000</t>
  </si>
  <si>
    <t>€750,000,000</t>
  </si>
  <si>
    <t>https://sheerme.com/</t>
  </si>
  <si>
    <t>YDreams</t>
  </si>
  <si>
    <t>AR, VR, Software</t>
  </si>
  <si>
    <t>Caparica</t>
  </si>
  <si>
    <t>€8,500,000</t>
  </si>
  <si>
    <t>https://www.exclusible.com/</t>
  </si>
  <si>
    <t>YD Pharma</t>
  </si>
  <si>
    <t>Pharmaceutical, Healthcare</t>
  </si>
  <si>
    <t>€8,600,000</t>
  </si>
  <si>
    <t>SilicoLife</t>
  </si>
  <si>
    <t>https://merytu.com/</t>
  </si>
  <si>
    <t>Biotech, Industrial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</si>
  <si>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http://bemagro.com</t>
    </r>
  </si>
  <si>
    <t>€9,871,429</t>
  </si>
  <si>
    <t>€9,800,000</t>
  </si>
  <si>
    <t>https://evio.pt/</t>
  </si>
  <si>
    <t>Meridian Mining</t>
  </si>
  <si>
    <t>Mining, Copper/Gold</t>
  </si>
  <si>
    <t>$139,846,510</t>
  </si>
  <si>
    <t>CA$57.5M</t>
  </si>
  <si>
    <t>Bravo Mining</t>
  </si>
  <si>
    <t>Lerian</t>
  </si>
  <si>
    <t>Core Banking</t>
  </si>
  <si>
    <t>Mining, Industrial</t>
  </si>
  <si>
    <t>$80,866,769</t>
  </si>
  <si>
    <t>CA$86,273,000</t>
  </si>
  <si>
    <t>https://lerian.studio/</t>
  </si>
  <si>
    <t>Maló Clinic</t>
  </si>
  <si>
    <t>Dental, Health Care</t>
  </si>
  <si>
    <t>https://zenvia.com/</t>
  </si>
  <si>
    <t>CN¥230M</t>
  </si>
  <si>
    <t>http://www.magnifinance.com</t>
  </si>
  <si>
    <t>Buser</t>
  </si>
  <si>
    <t>Travel Tech, Bus</t>
  </si>
  <si>
    <t>Viveo</t>
  </si>
  <si>
    <t>5001-10k</t>
  </si>
  <si>
    <t>Ribeirão</t>
  </si>
  <si>
    <t>https://www.buser.com.br/</t>
  </si>
  <si>
    <t>R$ 1.2B</t>
  </si>
  <si>
    <t>https://inventa.com.br/</t>
  </si>
  <si>
    <t>Provu</t>
  </si>
  <si>
    <t>FinTech, Banking</t>
  </si>
  <si>
    <t>R$ 1.4B</t>
  </si>
  <si>
    <t>$ 3.3M</t>
  </si>
  <si>
    <t>R$ 10M</t>
  </si>
  <si>
    <t>https://cayena.com/</t>
  </si>
  <si>
    <t>http://www.pluxbiosignals.com</t>
  </si>
  <si>
    <t>https://www.reckon.ai/</t>
  </si>
  <si>
    <t>R$ 28.8M</t>
  </si>
  <si>
    <t>https://tivita.com/</t>
  </si>
  <si>
    <t>R$ 37M</t>
  </si>
  <si>
    <t>R$ 45M</t>
  </si>
  <si>
    <t>R$ 18M</t>
  </si>
  <si>
    <t>https://digitalmanager.guru</t>
  </si>
  <si>
    <t>ZAX</t>
  </si>
  <si>
    <t>B2B Marketplace</t>
  </si>
  <si>
    <t>https://musiversal.com/</t>
  </si>
  <si>
    <t>https://www.zaxapp.com.br/</t>
  </si>
  <si>
    <t>Agrion</t>
  </si>
  <si>
    <t>R$ 250M</t>
  </si>
  <si>
    <t>Klubi</t>
  </si>
  <si>
    <t>FinTech, Consórcio</t>
  </si>
  <si>
    <t>ROCK</t>
  </si>
  <si>
    <t>CRM, Loyalty</t>
  </si>
  <si>
    <t>https://www.klubi.com.br/</t>
  </si>
  <si>
    <t>R$ 300M</t>
  </si>
  <si>
    <t>https://www.blip.ai/</t>
  </si>
  <si>
    <t>Fazenda Fut.</t>
  </si>
  <si>
    <t>FoodTech</t>
  </si>
  <si>
    <t>https://www.infinitefoundry.com/</t>
  </si>
  <si>
    <t>$ 83.5M</t>
  </si>
  <si>
    <t>Malga</t>
  </si>
  <si>
    <t>Payments-as-a-Serv</t>
  </si>
  <si>
    <t>https://malga.io/</t>
  </si>
  <si>
    <t>Lavoro Agro</t>
  </si>
  <si>
    <t>https://qitech.com.br/</t>
  </si>
  <si>
    <t>Agriculture</t>
  </si>
  <si>
    <t>M. de Melo</t>
  </si>
  <si>
    <t>R$ 730M</t>
  </si>
  <si>
    <t>R$ 310M</t>
  </si>
  <si>
    <t>R$ 32M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</si>
  <si>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http://bemagro.com</t>
    </r>
  </si>
  <si>
    <t>IORQ</t>
  </si>
  <si>
    <t>Credit, Finance</t>
  </si>
  <si>
    <t>http://beamian.com</t>
  </si>
  <si>
    <t>Amicci</t>
  </si>
  <si>
    <t>https://www.didimo.co/</t>
  </si>
  <si>
    <t>RetailTech, SaaS</t>
  </si>
  <si>
    <t>R$ 40M</t>
  </si>
  <si>
    <t>Trinus Co</t>
  </si>
  <si>
    <t>Fin. Real Estate</t>
  </si>
  <si>
    <t>$ 21.6M</t>
  </si>
  <si>
    <t>R$ 43M</t>
  </si>
  <si>
    <t>R$ 4M</t>
  </si>
  <si>
    <t>http://www.bitcliq.com</t>
  </si>
  <si>
    <t>PetroRecan.</t>
  </si>
  <si>
    <t>Energy, O&amp;G</t>
  </si>
  <si>
    <t>Mossoró</t>
  </si>
  <si>
    <t>R$ 500M</t>
  </si>
  <si>
    <t>https://www.feedzai.com/pt-br/</t>
  </si>
  <si>
    <t>OmniChat</t>
  </si>
  <si>
    <t>Conv. Commerce</t>
  </si>
  <si>
    <t>https://primetag.com/</t>
  </si>
  <si>
    <t>Z1</t>
  </si>
  <si>
    <t>Teen Banking</t>
  </si>
  <si>
    <t>$ 25.8M</t>
  </si>
  <si>
    <t>https://inklusion.pt</t>
  </si>
  <si>
    <t>https://www.mediaprobe.com/</t>
  </si>
  <si>
    <t>R$ 22M</t>
  </si>
  <si>
    <t>R$ 5M</t>
  </si>
  <si>
    <t>Agroforte</t>
  </si>
  <si>
    <t>Agri Credit</t>
  </si>
  <si>
    <t>R$ 111M</t>
  </si>
  <si>
    <t>Caveo</t>
  </si>
  <si>
    <t>FinTech for Doctors</t>
  </si>
  <si>
    <t>https://www.netsonda.pt/</t>
  </si>
  <si>
    <t>https://caveo.com.br/</t>
  </si>
  <si>
    <t>Gênica</t>
  </si>
  <si>
    <t>Piracicaba</t>
  </si>
  <si>
    <t>$ 19.3M</t>
  </si>
  <si>
    <t>R$ 68M</t>
  </si>
  <si>
    <t>https://socialtalk.io</t>
  </si>
  <si>
    <t>Araraquara</t>
  </si>
  <si>
    <t>$ 1.5M</t>
  </si>
  <si>
    <t>R$ 7M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</si>
  <si>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https://www.barte.com/</t>
    </r>
  </si>
  <si>
    <t>https://www.iorq.com.br/</t>
  </si>
  <si>
    <t>Embraer</t>
  </si>
  <si>
    <t>Aerospace, Mfg</t>
  </si>
  <si>
    <t>$3.96B</t>
  </si>
  <si>
    <t>R$1,090,000,000</t>
  </si>
  <si>
    <t>ASAAS</t>
  </si>
  <si>
    <t>Billing, Payments</t>
  </si>
  <si>
    <t>R$10,000,000</t>
  </si>
  <si>
    <t>https://www.asaas.com/</t>
  </si>
  <si>
    <t>https://www.jusbrasil.com.br/</t>
  </si>
  <si>
    <t>Comp</t>
  </si>
  <si>
    <t>HR Tech, Big Data</t>
  </si>
  <si>
    <t>$23,313,393</t>
  </si>
  <si>
    <t>R$100,000,000</t>
  </si>
  <si>
    <t>Gabriel</t>
  </si>
  <si>
    <t>Physical Security, IoT</t>
  </si>
  <si>
    <t>Oakberry</t>
  </si>
  <si>
    <t>Food, Organic</t>
  </si>
  <si>
    <t>https://www.gabriel.com.br/home</t>
  </si>
  <si>
    <t>R$509,000,000</t>
  </si>
  <si>
    <t>Tako</t>
  </si>
  <si>
    <t>HR Tech, Payroll AI</t>
  </si>
  <si>
    <t>$31,131,109</t>
  </si>
  <si>
    <t>https://www.telepatia.ai/pt-br</t>
  </si>
  <si>
    <t>Rivio</t>
  </si>
  <si>
    <t>Hospital Mgmt, AI</t>
  </si>
  <si>
    <t>https://oscar-app.com/pt</t>
  </si>
  <si>
    <t>Beep Saúde</t>
  </si>
  <si>
    <t>$44,548,923</t>
  </si>
  <si>
    <t>Darwin Seguros</t>
  </si>
  <si>
    <t>https://www.ophiomics.com/</t>
  </si>
  <si>
    <t>InsurTech, Auto</t>
  </si>
  <si>
    <t>R$161,000,000</t>
  </si>
  <si>
    <t>https://www.semantix.ai/</t>
  </si>
  <si>
    <t>R$102,000,000</t>
  </si>
  <si>
    <t>Arvo</t>
  </si>
  <si>
    <t>$24,457,449</t>
  </si>
  <si>
    <t>R$106,000,000</t>
  </si>
  <si>
    <t>https://www.tekever.com/</t>
  </si>
  <si>
    <t>Onze</t>
  </si>
  <si>
    <t>PensionTech, FinTech</t>
  </si>
  <si>
    <t>R$163,000,000</t>
  </si>
  <si>
    <t>R$110,000,000</t>
  </si>
  <si>
    <t>Velotax</t>
  </si>
  <si>
    <t>TaxTech, FinTech</t>
  </si>
  <si>
    <t>R$125,000,000</t>
  </si>
  <si>
    <t>https://www.amicci.com.br/</t>
  </si>
  <si>
    <t>NetLex</t>
  </si>
  <si>
    <t>LegalTech, SaaS</t>
  </si>
  <si>
    <t>R$126,000,000</t>
  </si>
  <si>
    <t>R$15,400,000</t>
  </si>
  <si>
    <t>R$13,000,000</t>
  </si>
  <si>
    <t>https://www.uphillhealth.com/pt</t>
  </si>
  <si>
    <t>$2,787,278</t>
  </si>
  <si>
    <t>Hashdex</t>
  </si>
  <si>
    <t>R$135,000,000</t>
  </si>
  <si>
    <t>R$558,000,000</t>
  </si>
  <si>
    <t>https://www.girissima.com/</t>
  </si>
  <si>
    <t>R$14,000,000</t>
  </si>
  <si>
    <t>https://trinus.co/</t>
  </si>
  <si>
    <t>Escale</t>
  </si>
  <si>
    <t>AI Sales Agents</t>
  </si>
  <si>
    <t>$50,138,661</t>
  </si>
  <si>
    <t>R$146,200,000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</si>
  <si>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https://www.barte.com/</t>
    </r>
  </si>
  <si>
    <t>Pagaleve</t>
  </si>
  <si>
    <t>Buy Now Pay Later</t>
  </si>
  <si>
    <t>R$300,500,000</t>
  </si>
  <si>
    <t>R$160,000,000</t>
  </si>
  <si>
    <t>https://portao3.com.br</t>
  </si>
  <si>
    <t>Logcomex</t>
  </si>
  <si>
    <t>Logistics, Big Data</t>
  </si>
  <si>
    <t>$44,510,098</t>
  </si>
  <si>
    <t>https://fancollex.com/</t>
  </si>
  <si>
    <t>R$165,000,000</t>
  </si>
  <si>
    <t>$22,053,722</t>
  </si>
  <si>
    <t>R$17,000,000</t>
  </si>
  <si>
    <t>$1,021,880</t>
  </si>
  <si>
    <t>R$2,700,000</t>
  </si>
  <si>
    <t>Vitória</t>
  </si>
  <si>
    <t>$7,598,489</t>
  </si>
  <si>
    <t>R$20,000,000</t>
  </si>
  <si>
    <t>A5X</t>
  </si>
  <si>
    <t>https://omni.chat/</t>
  </si>
  <si>
    <t>Trading Platform</t>
  </si>
  <si>
    <t>R$385,000,000</t>
  </si>
  <si>
    <t>R$200,000,000</t>
  </si>
  <si>
    <t>https://voa.health</t>
  </si>
  <si>
    <t>https://heden.co/pt/</t>
  </si>
  <si>
    <t>Piwi</t>
  </si>
  <si>
    <t>InsurTech, Health</t>
  </si>
  <si>
    <t>R$23,000,000</t>
  </si>
  <si>
    <t>R$21,500,000</t>
  </si>
  <si>
    <t>Nagro</t>
  </si>
  <si>
    <t>AgFintech, Big Data</t>
  </si>
  <si>
    <t>http://nagro.com.br/</t>
  </si>
  <si>
    <t>TESS</t>
  </si>
  <si>
    <t>Agentic AI, SaaS</t>
  </si>
  <si>
    <t>$6,872,914</t>
  </si>
  <si>
    <t>R$25,000,000</t>
  </si>
  <si>
    <t>$105,066,883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</si>
  <si>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https://www.delend.finance/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</si>
  <si>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https://www.zaask.com</t>
    </r>
  </si>
  <si>
    <t>will bank</t>
  </si>
  <si>
    <t>Digital Bank</t>
  </si>
  <si>
    <t>R$250,000,000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</si>
  <si>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https://www.deepneuronic.com</t>
    </r>
  </si>
  <si>
    <t>SAKS</t>
  </si>
  <si>
    <t>Personal Finance, App</t>
  </si>
  <si>
    <t>B. Camboriú</t>
  </si>
  <si>
    <t>R$26,000,000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</si>
  <si>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http://dolado.com.br</t>
    </r>
  </si>
  <si>
    <t>R$28,000,000</t>
  </si>
  <si>
    <t>R$3,200,000</t>
  </si>
  <si>
    <t>R$48,000,000</t>
  </si>
  <si>
    <t>R$30,000,000</t>
  </si>
  <si>
    <t>Olga Ri</t>
  </si>
  <si>
    <t>Food Delivery, Cloud Kitchen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</si>
  <si>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http://www.drconsulta.com</t>
    </r>
  </si>
  <si>
    <t>R$730,000,000</t>
  </si>
  <si>
    <t>Nomad</t>
  </si>
  <si>
    <t>Fintech, Banking</t>
  </si>
  <si>
    <t>R$590,000,000</t>
  </si>
  <si>
    <t>R$300,000,000</t>
  </si>
  <si>
    <t>https://www.lyzer.tech/</t>
  </si>
  <si>
    <t>Solinftec</t>
  </si>
  <si>
    <t>AgTech, Robotics</t>
  </si>
  <si>
    <t>Araçatuba</t>
  </si>
  <si>
    <t>$198,811,142</t>
  </si>
  <si>
    <t>Digibee</t>
  </si>
  <si>
    <t>iPaaS, Enterprise</t>
  </si>
  <si>
    <t>$99,278,764</t>
  </si>
  <si>
    <t>https://realfevr.com/</t>
  </si>
  <si>
    <t>R$139,500,000</t>
  </si>
  <si>
    <t>R$32,000,000</t>
  </si>
  <si>
    <t>$8,399,913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</si>
  <si>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http://www.pitzi.com.br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</si>
  <si>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http://www.biosurfit.com</t>
    </r>
  </si>
  <si>
    <t>R$56,000,000</t>
  </si>
  <si>
    <t>R$34,000,000</t>
  </si>
  <si>
    <t>$186,894,344</t>
  </si>
  <si>
    <t>R$35,000,000</t>
  </si>
  <si>
    <t>https://www.silicolife.com/</t>
  </si>
  <si>
    <t>https://eneida.io/</t>
  </si>
  <si>
    <t>$32,015,327</t>
  </si>
  <si>
    <t>Strm Music</t>
  </si>
  <si>
    <t>MusicTech, AI</t>
  </si>
  <si>
    <t>$7,044,885</t>
  </si>
  <si>
    <t>Sorocaba</t>
  </si>
  <si>
    <t>$1,524,198</t>
  </si>
  <si>
    <t>R$4,040,904</t>
  </si>
  <si>
    <t>https://www.brainr.com/pt-br</t>
  </si>
  <si>
    <t>Legiti</t>
  </si>
  <si>
    <t>Anti-fraud, AI</t>
  </si>
  <si>
    <t>http://www.platforme.com</t>
  </si>
  <si>
    <t>$10,215,152</t>
  </si>
  <si>
    <t>R$42,000,000</t>
  </si>
  <si>
    <t>Descomplica</t>
  </si>
  <si>
    <t>EdTech</t>
  </si>
  <si>
    <t>$130,613,111</t>
  </si>
  <si>
    <t>R$450,000,000</t>
  </si>
  <si>
    <t>https://cleanwatts.energy/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</si>
  <si>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http://www.biosurfit.com</t>
    </r>
  </si>
  <si>
    <t>CAF</t>
  </si>
  <si>
    <t>ID Verification, AI</t>
  </si>
  <si>
    <t>RS</t>
  </si>
  <si>
    <t>R$210,000,000</t>
  </si>
  <si>
    <t>R$50,000,000</t>
  </si>
  <si>
    <t>$59,726,979</t>
  </si>
  <si>
    <t>https://trigger.systems/</t>
  </si>
  <si>
    <t>https://www.carbocode.com/</t>
  </si>
  <si>
    <t>https://meuagroforte.com.br/</t>
  </si>
  <si>
    <t>Gupy</t>
  </si>
  <si>
    <t>HR Tech, Recruiting AI</t>
  </si>
  <si>
    <t>$105,035,434</t>
  </si>
  <si>
    <t>R$500,000,000</t>
  </si>
  <si>
    <t>https://oceano-fresco.pt/</t>
  </si>
  <si>
    <t>R$7,000,000</t>
  </si>
  <si>
    <t>Florianóp.</t>
  </si>
  <si>
    <t>R$7,950,000</t>
  </si>
  <si>
    <t>www.biometrid.com</t>
  </si>
  <si>
    <t>https://infraspeak.com/pt-br</t>
  </si>
  <si>
    <t>R$22,500,000</t>
  </si>
  <si>
    <t>CondoConta</t>
  </si>
  <si>
    <t>FinTech, Real Estate</t>
  </si>
  <si>
    <t>$34,091,248</t>
  </si>
  <si>
    <t>R$72,300,000</t>
  </si>
  <si>
    <t>Principia</t>
  </si>
  <si>
    <t>EdTech, FinTech</t>
  </si>
  <si>
    <t>R$304,000,000</t>
  </si>
  <si>
    <t>R$80,000,000</t>
  </si>
  <si>
    <t>http://www.e-schooling.com</t>
  </si>
  <si>
    <t>AgroAdvance</t>
  </si>
  <si>
    <t>AgTech, EdTech</t>
  </si>
  <si>
    <t>R$9,500,000</t>
  </si>
  <si>
    <t>Avenia</t>
  </si>
  <si>
    <t>Blockchain, FX</t>
  </si>
  <si>
    <t>R$105,000,000</t>
  </si>
  <si>
    <t>R$90,000,000</t>
  </si>
  <si>
    <t>Sensei</t>
  </si>
  <si>
    <t>$23,368,167</t>
  </si>
  <si>
    <t>R$91,000,000</t>
  </si>
  <si>
    <t>DR.CASH</t>
  </si>
  <si>
    <t>AdTech, Health</t>
  </si>
  <si>
    <t>$ 10.7M</t>
  </si>
  <si>
    <t>ZAR 175M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</si>
  <si>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http://www.platforme.com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</si>
  <si>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https://www.monkey.tech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</si>
  <si>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https://www.hijiffy.com/</t>
    </r>
  </si>
  <si>
    <t>https://genica.com.br/</t>
  </si>
  <si>
    <t>104166.67</t>
  </si>
  <si>
    <t>http://www.trypleez.com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</si>
  <si>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https://www.nortech.a</t>
    </r>
  </si>
  <si>
    <t>https://condoconta.com.br/</t>
  </si>
  <si>
    <t>232363.53</t>
  </si>
  <si>
    <t>http://www.virtuleap.com</t>
  </si>
  <si>
    <t>https://www.principia.net/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</si>
  <si>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http://www.goparity.com</t>
    </r>
  </si>
  <si>
    <t>163483.33</t>
  </si>
  <si>
    <t>113333.33</t>
  </si>
  <si>
    <t>https://www.bloq.it/</t>
  </si>
  <si>
    <t>Deeptech — tecnologias de alto conteúdo científico ou técnico: AI, IoT, Blockchain, Computer Vision, NLP, Biotech, Quantum. Um score alto aqui sinaliza que a empresa tem produto de maior complexidade técnica e barreira de entrada.</t>
  </si>
  <si>
    <t>Cloud Native — infraestrutura moderna: Kubernetes, Docker, Terraform, AWS, Prometheus, Snowflake. Sinaliza maturidade de engenharia e capacidade de escalar. Empresas em estágio inicial tendem a ter score baixo aqui.</t>
  </si>
  <si>
    <t>DevTools — linguagens e ferramentas de desenvolvimento: Python, React, Node.js, PostgreSQL, Git, GitLab. Sinaliza o tamanho e sofisticação do time de produto.</t>
  </si>
  <si>
    <t>Analytics — ferramentas de dados e monitoramento: Mixpanel, Datadog, Google Analytics, Amplitude, PowerBI. Sinaliza cultura data-driven — empresas que medem o que fazem.</t>
  </si>
  <si>
    <t>Growth Stack — ferramentas de vendas e marketing: HubSpot, Salesforce, Braze, Zendesk, LinkedIn Ads. Sinaliza que a empresa já está em modo de crescimento comercial ativo.</t>
  </si>
  <si>
    <t>6894000.0</t>
  </si>
  <si>
    <t>https://avenia.io/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</si>
  <si>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https://weezie.io</t>
    </r>
  </si>
  <si>
    <t>143333.33</t>
  </si>
  <si>
    <t>https://www.sensei.tech/</t>
  </si>
  <si>
    <t>170000.0</t>
  </si>
  <si>
    <t>https://comp.vc/</t>
  </si>
  <si>
    <t>https://www.pinkapp.com/</t>
  </si>
  <si>
    <t>Startups</t>
  </si>
  <si>
    <t>https://tako.ai/pt/</t>
  </si>
  <si>
    <t>Ativas</t>
  </si>
  <si>
    <t>Com pelo menos uma rodada de investimento conhecida</t>
  </si>
  <si>
    <t>Não realizaram IPO</t>
  </si>
  <si>
    <t>24503.1</t>
  </si>
  <si>
    <t>https://www.rivio.com.br/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</si>
  <si>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https://www.visor.ai</t>
    </r>
  </si>
  <si>
    <t>https://beepsaude.com.br/</t>
  </si>
  <si>
    <t>337205.1</t>
  </si>
  <si>
    <t>16666.67</t>
  </si>
  <si>
    <t>https://www.darwinseguros.com/</t>
  </si>
  <si>
    <t>https://www.arvo.com.br/</t>
  </si>
  <si>
    <t>3433.33</t>
  </si>
  <si>
    <t>Faixa</t>
  </si>
  <si>
    <t>534966.1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</si>
  <si>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http://www.onze.com.br</t>
    </r>
  </si>
  <si>
    <t>48333.33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</si>
  <si>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https://traive.com.br/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</si>
  <si>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https://ume.com.br/</t>
    </r>
  </si>
  <si>
    <t>33333.33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</si>
  <si>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https://unbabel.com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</si>
  <si>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http://www.alice.com.b</t>
    </r>
  </si>
  <si>
    <t>29166.67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</si>
  <si>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https://velotax.com.br/</t>
    </r>
  </si>
  <si>
    <t>https://netlex.io/</t>
  </si>
  <si>
    <t>300000.0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</si>
  <si>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http://www.tembici.com.br</t>
    </r>
  </si>
  <si>
    <t>https://www.hashdex.com/pt-BR</t>
  </si>
  <si>
    <t>36000.0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</si>
  <si>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https://www.neon.com.br/</t>
    </r>
  </si>
  <si>
    <t>https://escale.ai/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</si>
  <si>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https://ng.cash/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</si>
  <si>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https://provu.com.br/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</si>
  <si>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http://www.capim.com.br</t>
    </r>
  </si>
  <si>
    <t>39960.0</t>
  </si>
  <si>
    <t>https://www.pagaleve.com.br/</t>
  </si>
  <si>
    <t>https://www.logcomex.com/</t>
  </si>
  <si>
    <t>43200.0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</si>
  <si>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www.kanastra.com.br</t>
    </r>
  </si>
  <si>
    <t>50400.0</t>
  </si>
  <si>
    <t>https://agrion.com.br/</t>
  </si>
  <si>
    <t>https://www.zaask.com</t>
  </si>
  <si>
    <t>77040.0</t>
  </si>
  <si>
    <t>https://a5x.com.br/</t>
  </si>
  <si>
    <t>https://www.deepneuronic.com</t>
  </si>
  <si>
    <t>54000.0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</si>
  <si>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https://starkbank.com</t>
    </r>
  </si>
  <si>
    <t>66600.03</t>
  </si>
  <si>
    <t>https://www.nomadglobal.com/</t>
  </si>
  <si>
    <t>79200.0</t>
  </si>
  <si>
    <t>https://solinftec.com/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</si>
  <si>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https://dio.me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</si>
  <si>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https://www.digibee.com</t>
    </r>
  </si>
  <si>
    <t>554400.0</t>
  </si>
  <si>
    <t>396000.0</t>
  </si>
  <si>
    <t>540000.0</t>
  </si>
  <si>
    <t>709200.0</t>
  </si>
  <si>
    <t>https://descomplica.com.br/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</si>
  <si>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http://www.onze.com.br</t>
    </r>
  </si>
  <si>
    <t>126000.0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</si>
  <si>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https://velotax.com.br/</t>
    </r>
  </si>
  <si>
    <t>99000.0</t>
  </si>
  <si>
    <t>https://www.gupy.io/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</si>
  <si>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https://hoopers.club/</t>
    </r>
  </si>
  <si>
    <t>72000.0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</si>
  <si>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https://www.celcoin.com.br/</t>
    </r>
  </si>
  <si>
    <t>75600.0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</si>
  <si>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https://olist.com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</si>
  <si>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https://www.madeiramadeira.com.br/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</si>
  <si>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https://provu.com.br/</t>
    </r>
  </si>
  <si>
    <t>160122.37</t>
  </si>
  <si>
    <t>https://www.nortech.a</t>
  </si>
  <si>
    <t>90000.0</t>
  </si>
  <si>
    <t>104400.0</t>
  </si>
  <si>
    <t>http://www.goparity.com</t>
  </si>
  <si>
    <t>281468.77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</si>
  <si>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https://monest.com.br/</t>
    </r>
  </si>
  <si>
    <t>165600.0</t>
  </si>
  <si>
    <t>388800.0</t>
  </si>
  <si>
    <t>108000.0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</si>
  <si>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https://www.digibee.com</t>
    </r>
  </si>
  <si>
    <t>https://weezie.io</t>
  </si>
  <si>
    <t>126900.0</t>
  </si>
  <si>
    <t>180000.0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</si>
  <si>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https://stattus4.com/</t>
    </r>
  </si>
  <si>
    <t>298041.73</t>
  </si>
  <si>
    <t>259200.0</t>
  </si>
  <si>
    <t>237600.0</t>
  </si>
  <si>
    <t>380340.0</t>
  </si>
  <si>
    <t>293485.87</t>
  </si>
  <si>
    <t>273600.0</t>
  </si>
  <si>
    <t>355371.43</t>
  </si>
  <si>
    <t>110000.0</t>
  </si>
  <si>
    <t>222000.0</t>
  </si>
  <si>
    <t>1500000.0</t>
  </si>
  <si>
    <t>132000.0</t>
  </si>
  <si>
    <t>666000.0</t>
  </si>
  <si>
    <t>60000.0</t>
  </si>
  <si>
    <t>https://hoopers.club/</t>
  </si>
  <si>
    <t>92909.27</t>
  </si>
  <si>
    <t>19200.0</t>
  </si>
  <si>
    <t>288000.0</t>
  </si>
  <si>
    <t>https://stattus4.com/</t>
  </si>
  <si>
    <t>50806.6</t>
  </si>
  <si>
    <t>42000.0</t>
  </si>
  <si>
    <t>47700.0</t>
  </si>
  <si>
    <t>135000.0</t>
  </si>
  <si>
    <t>630000.0</t>
  </si>
  <si>
    <t>http://www.ubiwhere.com</t>
  </si>
  <si>
    <t>https://www.b-parts.com</t>
  </si>
  <si>
    <t>https://www.delend.finance/</t>
  </si>
  <si>
    <t>http://dolado.com.br</t>
  </si>
  <si>
    <t>http://www.culttivo.com</t>
  </si>
  <si>
    <t>https://traive.com.br/</t>
  </si>
  <si>
    <t>2167711.69</t>
  </si>
  <si>
    <t>5418.67</t>
  </si>
  <si>
    <t>70000.0</t>
  </si>
  <si>
    <t>https://starkbank.com</t>
  </si>
  <si>
    <t>799420.73</t>
  </si>
  <si>
    <t>http://bemagro.com</t>
  </si>
  <si>
    <t>141491.69</t>
  </si>
  <si>
    <t>80000.0</t>
  </si>
  <si>
    <t>161794.75</t>
  </si>
  <si>
    <t>https://www.barte.com/</t>
  </si>
  <si>
    <t>162666.67</t>
  </si>
  <si>
    <t>29592.0</t>
  </si>
  <si>
    <t>24480.0</t>
  </si>
  <si>
    <t>159120.0</t>
  </si>
  <si>
    <t>http://www.biosurfit.com</t>
  </si>
  <si>
    <t>144000.0</t>
  </si>
  <si>
    <t>https://www.hijiffy.com/</t>
  </si>
  <si>
    <t>77645.88</t>
  </si>
  <si>
    <t>49896.0</t>
  </si>
  <si>
    <t>58723.2</t>
  </si>
  <si>
    <t>https://www.visor.ai</t>
  </si>
  <si>
    <t>70660.8</t>
  </si>
  <si>
    <t>87840.0</t>
  </si>
  <si>
    <t>188640.0</t>
  </si>
  <si>
    <t>160560.0</t>
  </si>
  <si>
    <t>69120.0</t>
  </si>
  <si>
    <t>97333.33</t>
  </si>
  <si>
    <t>84000.0</t>
  </si>
  <si>
    <t>310845.24</t>
  </si>
  <si>
    <t>415081.45</t>
  </si>
  <si>
    <t>240000.0</t>
  </si>
  <si>
    <t>https://velotax.com.br/</t>
  </si>
  <si>
    <t>324000.0</t>
  </si>
  <si>
    <t>294049.63</t>
  </si>
  <si>
    <t>13625.07</t>
  </si>
  <si>
    <t>101313.19</t>
  </si>
  <si>
    <t>67200.0</t>
  </si>
  <si>
    <t>https://monest.com.br/</t>
  </si>
  <si>
    <t>7680.0</t>
  </si>
  <si>
    <t>111998.84</t>
  </si>
  <si>
    <t>796359.72</t>
  </si>
  <si>
    <t>http://www.avenidas.pt</t>
  </si>
  <si>
    <t>http://www.pitzi.com.br</t>
  </si>
  <si>
    <t>https://www.monkey.tech</t>
  </si>
  <si>
    <t>https://www.konsi.com.br/</t>
  </si>
  <si>
    <t>http://sobre.arado.com.br</t>
  </si>
  <si>
    <t>https://180s.com.br</t>
  </si>
  <si>
    <t>https://ng.cash/</t>
  </si>
  <si>
    <t>http://www.capim.com.br</t>
  </si>
  <si>
    <t>www.kanastra.com.br</t>
  </si>
  <si>
    <t>364274.64</t>
  </si>
  <si>
    <t>231428.57</t>
  </si>
  <si>
    <t>459193.51</t>
  </si>
  <si>
    <t>99668.57</t>
  </si>
  <si>
    <t>225203.81</t>
  </si>
  <si>
    <t>37028.57</t>
  </si>
  <si>
    <t>https://provu.com.br/</t>
  </si>
  <si>
    <t>1440000.0</t>
  </si>
  <si>
    <t>46285.71</t>
  </si>
  <si>
    <t>139756.85</t>
  </si>
  <si>
    <t>http://www.onze.com.br</t>
  </si>
  <si>
    <t>167657.14</t>
  </si>
  <si>
    <t>15840.0</t>
  </si>
  <si>
    <t>309085.71</t>
  </si>
  <si>
    <t>https://www.digibee.com</t>
  </si>
  <si>
    <t>567307.22</t>
  </si>
  <si>
    <t>FinTech, ConsÃ³rcio</t>
  </si>
  <si>
    <t>143485.71</t>
  </si>
  <si>
    <t>57600.0</t>
  </si>
  <si>
    <t>194807.13</t>
  </si>
  <si>
    <t>133532.38</t>
  </si>
  <si>
    <t>https://www.celcoin.com.br/</t>
  </si>
  <si>
    <t>https://ume.com.br/</t>
  </si>
  <si>
    <t>238800.0</t>
  </si>
  <si>
    <t>1000000.0</t>
  </si>
  <si>
    <t>84960.0</t>
  </si>
  <si>
    <t>51466.67</t>
  </si>
  <si>
    <t>https://dio.me</t>
  </si>
  <si>
    <t>4000.0</t>
  </si>
  <si>
    <t>60480.0</t>
  </si>
  <si>
    <t>118693.59</t>
  </si>
  <si>
    <t>350400.0</t>
  </si>
  <si>
    <t>85374.21</t>
  </si>
  <si>
    <t>145920.0</t>
  </si>
  <si>
    <t>https://olist.com</t>
  </si>
  <si>
    <t>https://unbabel.com</t>
  </si>
  <si>
    <t>http://www.tembici.com.br</t>
  </si>
  <si>
    <t>https://www.neon.com.br/</t>
  </si>
  <si>
    <t>65022.23</t>
  </si>
  <si>
    <t>469953.86</t>
  </si>
  <si>
    <t>170732.54</t>
  </si>
  <si>
    <t>840893.19</t>
  </si>
  <si>
    <t>28800.0</t>
  </si>
  <si>
    <t>960.0</t>
  </si>
  <si>
    <t>66851.55</t>
  </si>
  <si>
    <t>265081.52</t>
  </si>
  <si>
    <t>174150.81</t>
  </si>
  <si>
    <t>http://www.drconsulta.com</t>
  </si>
  <si>
    <t>https://www.madeiramadeira.com.br/</t>
  </si>
  <si>
    <t>http://www.alice.com.b</t>
  </si>
  <si>
    <t>18871.04</t>
  </si>
  <si>
    <t>27558.62</t>
  </si>
  <si>
    <t>76666.67</t>
  </si>
  <si>
    <t>14849.64</t>
  </si>
  <si>
    <t>33480.0</t>
  </si>
  <si>
    <t>35022.29</t>
  </si>
  <si>
    <t>35400.0</t>
  </si>
  <si>
    <t>62298.11</t>
  </si>
  <si>
    <t>35011.81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</si>
</sst>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&quot;€&quot;#,##0.00"/>
    <numFmt numFmtId="166" formatCode="d/m/yyyy"/>
    <numFmt numFmtId="167" formatCode="&quot;R$&quot;#,##0.00"/>
    <numFmt numFmtId="168" formatCode="[$$]#,##0.00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  <font>
      <sz val="11.0"/>
      <color rgb="FF000000"/>
      <name val="&quot;Public Sans&quot;"/>
    </font>
    <font>
      <u/>
      <color rgb="FF0000FF"/>
    </font>
    <font>
      <u/>
      <color rgb="FF1155CC"/>
      <name val="Arial"/>
    </font>
    <font>
      <u/>
      <color rgb="FF0000FF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u/>
      <color rgb="FF0000FF"/>
      <name val="Arial"/>
    </font>
    <font>
      <u/>
      <sz val="12.0"/>
      <color rgb="FF000000"/>
      <name val="-apple-system"/>
    </font>
    <font>
      <b/>
      <sz val="11.0"/>
      <color rgb="FF000000"/>
      <name val="Arial"/>
    </font>
    <font>
      <b/>
      <sz val="11.0"/>
      <color rgb="FF000000"/>
      <name val="&quot;Aptos Narrow&quot;"/>
    </font>
    <font>
      <b/>
      <color theme="1"/>
      <name val="Arial"/>
    </font>
    <font>
      <u/>
      <sz val="11.0"/>
      <color rgb="FF000000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CBDDFF"/>
        <bgColor rgb="FFCBDDFF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1" numFmtId="0" xfId="0" applyFont="1"/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2" fontId="1" numFmtId="0" xfId="0" applyFill="1" applyFont="1"/>
    <xf borderId="0" fillId="3" fontId="4" numFmtId="0" xfId="0" applyAlignment="1" applyFill="1" applyFont="1">
      <alignment readingOrder="0" shrinkToFit="0" wrapText="0"/>
    </xf>
    <xf borderId="0" fillId="0" fontId="3" numFmtId="166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3" fontId="4" numFmtId="0" xfId="0" applyAlignment="1" applyFill="1" applyFont="1">
      <alignment readingOrder="0" shrinkToFit="0" wrapText="0"/>
    </xf>
    <xf borderId="0" fillId="0" fontId="3" numFmtId="167" xfId="0" applyAlignment="1" applyFont="1" applyNumberFormat="1">
      <alignment horizontal="right" vertical="bottom"/>
    </xf>
    <xf borderId="0" fillId="0" fontId="1" numFmtId="4" xfId="0" applyAlignment="1" applyFont="1" applyNumberFormat="1">
      <alignment readingOrder="0"/>
    </xf>
    <xf borderId="0" fillId="0" fontId="3" numFmtId="4" xfId="0" applyAlignment="1" applyFont="1" applyNumberFormat="1">
      <alignment vertical="bottom"/>
    </xf>
    <xf borderId="0" fillId="0" fontId="3" numFmtId="168" xfId="0" applyAlignment="1" applyFont="1" applyNumberFormat="1">
      <alignment vertical="bottom"/>
    </xf>
    <xf borderId="0" fillId="0" fontId="1" numFmtId="4" xfId="0" applyFont="1" applyNumberFormat="1"/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" numFmtId="10" xfId="0" applyAlignment="1" applyFont="1" applyNumberForma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" numFmtId="10" xfId="0" applyFont="1" applyNumberFormat="1"/>
    <xf borderId="0" fillId="0" fontId="1" numFmtId="168" xfId="0" applyFont="1" applyNumberFormat="1"/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4" fontId="12" numFmtId="0" xfId="0" applyAlignment="1" applyFill="1" applyFont="1">
      <alignment readingOrder="0" shrinkToFit="0" vertical="bottom" wrapText="0"/>
    </xf>
    <xf borderId="0" fillId="4" fontId="13" numFmtId="0" xfId="0" applyAlignment="1" applyFill="1" applyFont="1">
      <alignment readingOrder="0" shrinkToFit="0" vertical="bottom" wrapText="0"/>
    </xf>
    <xf borderId="0" fillId="4" fontId="13" numFmtId="168" xfId="0" applyAlignment="1" applyFill="1" applyFont="1" applyNumberFormat="1">
      <alignment readingOrder="0" shrinkToFit="0" vertical="bottom" wrapText="0"/>
    </xf>
    <xf borderId="0" fillId="4" fontId="12" numFmtId="168" xfId="0" applyAlignment="1" applyFill="1" applyFont="1" applyNumberFormat="1">
      <alignment readingOrder="0" shrinkToFit="0" vertical="bottom" wrapText="0"/>
    </xf>
    <xf borderId="0" fillId="4" fontId="14" numFmtId="0" xfId="0" applyAlignment="1" applyFill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168" xfId="0" applyAlignment="1" applyFont="1" applyNumberFormat="1">
      <alignment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8" numFmtId="164" xfId="0" applyAlignment="1" applyFont="1" applyNumberFormat="1">
      <alignment horizontal="center" readingOrder="0" shrinkToFit="0" vertical="bottom" wrapText="0"/>
    </xf>
    <xf borderId="0" fillId="0" fontId="8" numFmtId="10" xfId="0" applyAlignment="1" applyFont="1" applyNumberFormat="1">
      <alignment readingOrder="0" shrinkToFit="0" vertical="bottom" wrapText="0"/>
    </xf>
    <xf borderId="0" fillId="0" fontId="8" numFmtId="0" xfId="0" applyAlignment="1" applyFont="1">
      <alignment shrinkToFit="0" vertical="bottom" wrapText="0"/>
    </xf>
  </cellXfs>
  <cellStyles count="1">
    <cellStyle xfId="0" name="Normal" builtinId="0"/>
  </cellStyles>
  <dxfs count="1">
    <dxf>
      <font>
        <strike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runchbase.com/search/organization.companies/field/organization.companies/rank_org_company/659" TargetMode="External"/><Relationship Id="rId2" Type="http://schemas.openxmlformats.org/officeDocument/2006/relationships/hyperlink" Target="https://www.crunchbase.com/search/funding_rounds/field/organization.companies/last_funding_at/feedzai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b-parts.com" TargetMode="External"/><Relationship Id="rId2" Type="http://schemas.openxmlformats.org/officeDocument/2006/relationships/hyperlink" Target="http://deco.cx" TargetMode="External"/><Relationship Id="rId3" Type="http://schemas.openxmlformats.org/officeDocument/2006/relationships/hyperlink" Target="http://visio.ai" TargetMode="External"/><Relationship Id="rId4" Type="http://schemas.openxmlformats.org/officeDocument/2006/relationships/hyperlink" Target="http://fuelsave.io" TargetMode="External"/><Relationship Id="rId10" Type="http://schemas.openxmlformats.org/officeDocument/2006/relationships/drawing" Target="../drawings/drawing4.xml"/><Relationship Id="rId9" Type="http://schemas.openxmlformats.org/officeDocument/2006/relationships/hyperlink" Target="http://morada.ai" TargetMode="External"/><Relationship Id="rId5" Type="http://schemas.openxmlformats.org/officeDocument/2006/relationships/hyperlink" Target="http://landing.jobs" TargetMode="External"/><Relationship Id="rId6" Type="http://schemas.openxmlformats.org/officeDocument/2006/relationships/hyperlink" Target="http://bloq.it" TargetMode="External"/><Relationship Id="rId7" Type="http://schemas.openxmlformats.org/officeDocument/2006/relationships/hyperlink" Target="http://visor.ai" TargetMode="External"/><Relationship Id="rId8" Type="http://schemas.openxmlformats.org/officeDocument/2006/relationships/hyperlink" Target="http://reckon.ai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frentecorretora.com.br/" TargetMode="External"/><Relationship Id="rId190" Type="http://schemas.openxmlformats.org/officeDocument/2006/relationships/hyperlink" Target="https://www.uphillhealth.com/pt" TargetMode="External"/><Relationship Id="rId42" Type="http://schemas.openxmlformats.org/officeDocument/2006/relationships/hyperlink" Target="https://www.konsi.com.br/" TargetMode="External"/><Relationship Id="rId41" Type="http://schemas.openxmlformats.org/officeDocument/2006/relationships/hyperlink" Target="https://destaxa.com.br/" TargetMode="External"/><Relationship Id="rId44" Type="http://schemas.openxmlformats.org/officeDocument/2006/relationships/hyperlink" Target="http://www.culttivo.com/" TargetMode="External"/><Relationship Id="rId194" Type="http://schemas.openxmlformats.org/officeDocument/2006/relationships/hyperlink" Target="https://salvy.com.br/" TargetMode="External"/><Relationship Id="rId43" Type="http://schemas.openxmlformats.org/officeDocument/2006/relationships/hyperlink" Target="https://www.beegol.com/" TargetMode="External"/><Relationship Id="rId193" Type="http://schemas.openxmlformats.org/officeDocument/2006/relationships/hyperlink" Target="https://provu.com.br/" TargetMode="External"/><Relationship Id="rId46" Type="http://schemas.openxmlformats.org/officeDocument/2006/relationships/hyperlink" Target="https://albato.com/" TargetMode="External"/><Relationship Id="rId192" Type="http://schemas.openxmlformats.org/officeDocument/2006/relationships/hyperlink" Target="https://www.silicolife.com/" TargetMode="External"/><Relationship Id="rId45" Type="http://schemas.openxmlformats.org/officeDocument/2006/relationships/hyperlink" Target="https://fasqon.com/" TargetMode="External"/><Relationship Id="rId191" Type="http://schemas.openxmlformats.org/officeDocument/2006/relationships/hyperlink" Target="https://fancollex.com/" TargetMode="External"/><Relationship Id="rId48" Type="http://schemas.openxmlformats.org/officeDocument/2006/relationships/hyperlink" Target="https://www.gigu.app/br" TargetMode="External"/><Relationship Id="rId187" Type="http://schemas.openxmlformats.org/officeDocument/2006/relationships/hyperlink" Target="https://www.mediaprobe.com/" TargetMode="External"/><Relationship Id="rId47" Type="http://schemas.openxmlformats.org/officeDocument/2006/relationships/hyperlink" Target="https://www.codavel.com/" TargetMode="External"/><Relationship Id="rId186" Type="http://schemas.openxmlformats.org/officeDocument/2006/relationships/hyperlink" Target="https://primetag.com/" TargetMode="External"/><Relationship Id="rId185" Type="http://schemas.openxmlformats.org/officeDocument/2006/relationships/hyperlink" Target="https://www.reckon.ai/" TargetMode="External"/><Relationship Id="rId49" Type="http://schemas.openxmlformats.org/officeDocument/2006/relationships/hyperlink" Target="https://saasuma.com/" TargetMode="External"/><Relationship Id="rId184" Type="http://schemas.openxmlformats.org/officeDocument/2006/relationships/hyperlink" Target="http://reckon.ai" TargetMode="External"/><Relationship Id="rId189" Type="http://schemas.openxmlformats.org/officeDocument/2006/relationships/hyperlink" Target="https://www.ophiomics.com/" TargetMode="External"/><Relationship Id="rId188" Type="http://schemas.openxmlformats.org/officeDocument/2006/relationships/hyperlink" Target="https://oscar-app.com/pt" TargetMode="External"/><Relationship Id="rId31" Type="http://schemas.openxmlformats.org/officeDocument/2006/relationships/hyperlink" Target="http://deco.cx" TargetMode="External"/><Relationship Id="rId30" Type="http://schemas.openxmlformats.org/officeDocument/2006/relationships/hyperlink" Target="http://quan.to/" TargetMode="External"/><Relationship Id="rId33" Type="http://schemas.openxmlformats.org/officeDocument/2006/relationships/hyperlink" Target="http://visio.ai" TargetMode="External"/><Relationship Id="rId183" Type="http://schemas.openxmlformats.org/officeDocument/2006/relationships/hyperlink" Target="https://evio.pt/" TargetMode="External"/><Relationship Id="rId32" Type="http://schemas.openxmlformats.org/officeDocument/2006/relationships/hyperlink" Target="https://www.aravita.com/" TargetMode="External"/><Relationship Id="rId182" Type="http://schemas.openxmlformats.org/officeDocument/2006/relationships/hyperlink" Target="https://www.exclusible.com/" TargetMode="External"/><Relationship Id="rId35" Type="http://schemas.openxmlformats.org/officeDocument/2006/relationships/hyperlink" Target="https://www.novadax.com.br/" TargetMode="External"/><Relationship Id="rId181" Type="http://schemas.openxmlformats.org/officeDocument/2006/relationships/hyperlink" Target="https://sheerme.com/" TargetMode="External"/><Relationship Id="rId34" Type="http://schemas.openxmlformats.org/officeDocument/2006/relationships/hyperlink" Target="https://www.visio.ai/" TargetMode="External"/><Relationship Id="rId180" Type="http://schemas.openxmlformats.org/officeDocument/2006/relationships/hyperlink" Target="https://www.automaise.com/" TargetMode="External"/><Relationship Id="rId37" Type="http://schemas.openxmlformats.org/officeDocument/2006/relationships/hyperlink" Target="https://voa.health/" TargetMode="External"/><Relationship Id="rId176" Type="http://schemas.openxmlformats.org/officeDocument/2006/relationships/hyperlink" Target="https://ethiack.com/" TargetMode="External"/><Relationship Id="rId36" Type="http://schemas.openxmlformats.org/officeDocument/2006/relationships/hyperlink" Target="https://portao3.com.br/" TargetMode="External"/><Relationship Id="rId175" Type="http://schemas.openxmlformats.org/officeDocument/2006/relationships/hyperlink" Target="https://www.dreamshaper.com/" TargetMode="External"/><Relationship Id="rId39" Type="http://schemas.openxmlformats.org/officeDocument/2006/relationships/hyperlink" Target="https://produtores.sympla.com.br/" TargetMode="External"/><Relationship Id="rId174" Type="http://schemas.openxmlformats.org/officeDocument/2006/relationships/hyperlink" Target="https://spotlitedata.com/" TargetMode="External"/><Relationship Id="rId38" Type="http://schemas.openxmlformats.org/officeDocument/2006/relationships/hyperlink" Target="https://www.accountfy.com/" TargetMode="External"/><Relationship Id="rId173" Type="http://schemas.openxmlformats.org/officeDocument/2006/relationships/hyperlink" Target="https://www.hole19golf.com/" TargetMode="External"/><Relationship Id="rId179" Type="http://schemas.openxmlformats.org/officeDocument/2006/relationships/hyperlink" Target="https://www.jungle.ai/" TargetMode="External"/><Relationship Id="rId178" Type="http://schemas.openxmlformats.org/officeDocument/2006/relationships/hyperlink" Target="https://www.visor.ai/" TargetMode="External"/><Relationship Id="rId177" Type="http://schemas.openxmlformats.org/officeDocument/2006/relationships/hyperlink" Target="http://visor.ai" TargetMode="External"/><Relationship Id="rId20" Type="http://schemas.openxmlformats.org/officeDocument/2006/relationships/hyperlink" Target="https://inklusion.pt/" TargetMode="External"/><Relationship Id="rId22" Type="http://schemas.openxmlformats.org/officeDocument/2006/relationships/hyperlink" Target="https://www.docdigitizer.com/" TargetMode="External"/><Relationship Id="rId21" Type="http://schemas.openxmlformats.org/officeDocument/2006/relationships/hyperlink" Target="https://socialtalk.io/" TargetMode="External"/><Relationship Id="rId24" Type="http://schemas.openxmlformats.org/officeDocument/2006/relationships/hyperlink" Target="http://www.pitzi.com.br/" TargetMode="External"/><Relationship Id="rId23" Type="http://schemas.openxmlformats.org/officeDocument/2006/relationships/hyperlink" Target="https://www.codavel.com/" TargetMode="External"/><Relationship Id="rId26" Type="http://schemas.openxmlformats.org/officeDocument/2006/relationships/hyperlink" Target="http://dolado.com.br/" TargetMode="External"/><Relationship Id="rId25" Type="http://schemas.openxmlformats.org/officeDocument/2006/relationships/hyperlink" Target="https://www.delend.finance/" TargetMode="External"/><Relationship Id="rId28" Type="http://schemas.openxmlformats.org/officeDocument/2006/relationships/hyperlink" Target="https://www.monkey.tech/" TargetMode="External"/><Relationship Id="rId27" Type="http://schemas.openxmlformats.org/officeDocument/2006/relationships/hyperlink" Target="https://farmtech.com.br/" TargetMode="External"/><Relationship Id="rId29" Type="http://schemas.openxmlformats.org/officeDocument/2006/relationships/hyperlink" Target="https://www.zak.app/" TargetMode="External"/><Relationship Id="rId11" Type="http://schemas.openxmlformats.org/officeDocument/2006/relationships/hyperlink" Target="https://digitalmanager.guru/" TargetMode="External"/><Relationship Id="rId10" Type="http://schemas.openxmlformats.org/officeDocument/2006/relationships/hyperlink" Target="http://www.missiontoescape.com/" TargetMode="External"/><Relationship Id="rId13" Type="http://schemas.openxmlformats.org/officeDocument/2006/relationships/hyperlink" Target="http://www.growinportugal.com/" TargetMode="External"/><Relationship Id="rId12" Type="http://schemas.openxmlformats.org/officeDocument/2006/relationships/hyperlink" Target="http://gfoundry.com/" TargetMode="External"/><Relationship Id="rId15" Type="http://schemas.openxmlformats.org/officeDocument/2006/relationships/hyperlink" Target="https://www.infinitefoundry.com/" TargetMode="External"/><Relationship Id="rId198" Type="http://schemas.openxmlformats.org/officeDocument/2006/relationships/hyperlink" Target="https://colmeia.cx/" TargetMode="External"/><Relationship Id="rId14" Type="http://schemas.openxmlformats.org/officeDocument/2006/relationships/hyperlink" Target="https://www.biomimetx.com/" TargetMode="External"/><Relationship Id="rId197" Type="http://schemas.openxmlformats.org/officeDocument/2006/relationships/hyperlink" Target="https://www.cromai.com/" TargetMode="External"/><Relationship Id="rId17" Type="http://schemas.openxmlformats.org/officeDocument/2006/relationships/hyperlink" Target="http://www.bitcliq.com/" TargetMode="External"/><Relationship Id="rId196" Type="http://schemas.openxmlformats.org/officeDocument/2006/relationships/hyperlink" Target="https://morada.ai/" TargetMode="External"/><Relationship Id="rId16" Type="http://schemas.openxmlformats.org/officeDocument/2006/relationships/hyperlink" Target="http://beamian.com/" TargetMode="External"/><Relationship Id="rId195" Type="http://schemas.openxmlformats.org/officeDocument/2006/relationships/hyperlink" Target="http://morada.ai" TargetMode="External"/><Relationship Id="rId19" Type="http://schemas.openxmlformats.org/officeDocument/2006/relationships/hyperlink" Target="https://www.b-parts.com/" TargetMode="External"/><Relationship Id="rId18" Type="http://schemas.openxmlformats.org/officeDocument/2006/relationships/hyperlink" Target="http://b-parts.com/" TargetMode="External"/><Relationship Id="rId199" Type="http://schemas.openxmlformats.org/officeDocument/2006/relationships/hyperlink" Target="https://liti.com.br/pt" TargetMode="External"/><Relationship Id="rId84" Type="http://schemas.openxmlformats.org/officeDocument/2006/relationships/hyperlink" Target="http://www.tembici.com.br/" TargetMode="External"/><Relationship Id="rId83" Type="http://schemas.openxmlformats.org/officeDocument/2006/relationships/hyperlink" Target="http://www.alice.com.br/" TargetMode="External"/><Relationship Id="rId86" Type="http://schemas.openxmlformats.org/officeDocument/2006/relationships/hyperlink" Target="https://www.swap.financial/" TargetMode="External"/><Relationship Id="rId85" Type="http://schemas.openxmlformats.org/officeDocument/2006/relationships/hyperlink" Target="https://www.neon.com.br/" TargetMode="External"/><Relationship Id="rId88" Type="http://schemas.openxmlformats.org/officeDocument/2006/relationships/hyperlink" Target="https://ng.cash/" TargetMode="External"/><Relationship Id="rId150" Type="http://schemas.openxmlformats.org/officeDocument/2006/relationships/hyperlink" Target="https://cleanwatts.energy/" TargetMode="External"/><Relationship Id="rId87" Type="http://schemas.openxmlformats.org/officeDocument/2006/relationships/hyperlink" Target="https://geoinova.com.br/" TargetMode="External"/><Relationship Id="rId89" Type="http://schemas.openxmlformats.org/officeDocument/2006/relationships/hyperlink" Target="http://www.capim.com.br/" TargetMode="External"/><Relationship Id="rId80" Type="http://schemas.openxmlformats.org/officeDocument/2006/relationships/hyperlink" Target="https://traive.com.br/" TargetMode="External"/><Relationship Id="rId82" Type="http://schemas.openxmlformats.org/officeDocument/2006/relationships/hyperlink" Target="https://unbabel.com/" TargetMode="External"/><Relationship Id="rId81" Type="http://schemas.openxmlformats.org/officeDocument/2006/relationships/hyperlink" Target="https://ume.com.br/" TargetMode="External"/><Relationship Id="rId1" Type="http://schemas.openxmlformats.org/officeDocument/2006/relationships/hyperlink" Target="http://www.bandorasystems.com/" TargetMode="External"/><Relationship Id="rId2" Type="http://schemas.openxmlformats.org/officeDocument/2006/relationships/hyperlink" Target="http://www.avenidas.pt/" TargetMode="External"/><Relationship Id="rId3" Type="http://schemas.openxmlformats.org/officeDocument/2006/relationships/hyperlink" Target="http://www.ubiwhere.com/" TargetMode="External"/><Relationship Id="rId149" Type="http://schemas.openxmlformats.org/officeDocument/2006/relationships/hyperlink" Target="https://www.brainr.com/pt-br" TargetMode="External"/><Relationship Id="rId4" Type="http://schemas.openxmlformats.org/officeDocument/2006/relationships/hyperlink" Target="https://cuckuu.com/" TargetMode="External"/><Relationship Id="rId148" Type="http://schemas.openxmlformats.org/officeDocument/2006/relationships/hyperlink" Target="https://eneida.io/" TargetMode="External"/><Relationship Id="rId9" Type="http://schemas.openxmlformats.org/officeDocument/2006/relationships/hyperlink" Target="http://www.pluxbiosignals.com/" TargetMode="External"/><Relationship Id="rId143" Type="http://schemas.openxmlformats.org/officeDocument/2006/relationships/hyperlink" Target="https://www.fanofthematch.ai/" TargetMode="External"/><Relationship Id="rId142" Type="http://schemas.openxmlformats.org/officeDocument/2006/relationships/hyperlink" Target="https://www.wegho.com/" TargetMode="External"/><Relationship Id="rId141" Type="http://schemas.openxmlformats.org/officeDocument/2006/relationships/hyperlink" Target="https://www.deepneuronic.com/" TargetMode="External"/><Relationship Id="rId140" Type="http://schemas.openxmlformats.org/officeDocument/2006/relationships/hyperlink" Target="https://www.zaask.com/" TargetMode="External"/><Relationship Id="rId5" Type="http://schemas.openxmlformats.org/officeDocument/2006/relationships/hyperlink" Target="http://www.bladeinsight.com/" TargetMode="External"/><Relationship Id="rId147" Type="http://schemas.openxmlformats.org/officeDocument/2006/relationships/hyperlink" Target="http://www.biosurfit.com/" TargetMode="External"/><Relationship Id="rId6" Type="http://schemas.openxmlformats.org/officeDocument/2006/relationships/hyperlink" Target="https://digitalworkssolution.com/" TargetMode="External"/><Relationship Id="rId146" Type="http://schemas.openxmlformats.org/officeDocument/2006/relationships/hyperlink" Target="https://realfevr.com/" TargetMode="External"/><Relationship Id="rId7" Type="http://schemas.openxmlformats.org/officeDocument/2006/relationships/hyperlink" Target="https://merytu.com/" TargetMode="External"/><Relationship Id="rId145" Type="http://schemas.openxmlformats.org/officeDocument/2006/relationships/hyperlink" Target="https://www.lyzer.tech/" TargetMode="External"/><Relationship Id="rId8" Type="http://schemas.openxmlformats.org/officeDocument/2006/relationships/hyperlink" Target="http://www.magnifinance.com/" TargetMode="External"/><Relationship Id="rId144" Type="http://schemas.openxmlformats.org/officeDocument/2006/relationships/hyperlink" Target="https://luggit.app/" TargetMode="External"/><Relationship Id="rId73" Type="http://schemas.openxmlformats.org/officeDocument/2006/relationships/hyperlink" Target="https://olist.com/" TargetMode="External"/><Relationship Id="rId72" Type="http://schemas.openxmlformats.org/officeDocument/2006/relationships/hyperlink" Target="https://imotion.pt/" TargetMode="External"/><Relationship Id="rId75" Type="http://schemas.openxmlformats.org/officeDocument/2006/relationships/hyperlink" Target="http://sobre.arado.com.br/" TargetMode="External"/><Relationship Id="rId74" Type="http://schemas.openxmlformats.org/officeDocument/2006/relationships/hyperlink" Target="https://www.madeiramadeira.com.br/carreiras" TargetMode="External"/><Relationship Id="rId77" Type="http://schemas.openxmlformats.org/officeDocument/2006/relationships/hyperlink" Target="http://www.e-schooling.com/" TargetMode="External"/><Relationship Id="rId76" Type="http://schemas.openxmlformats.org/officeDocument/2006/relationships/hyperlink" Target="http://www.biometrid.com/" TargetMode="External"/><Relationship Id="rId79" Type="http://schemas.openxmlformats.org/officeDocument/2006/relationships/hyperlink" Target="https://180s.com.br/" TargetMode="External"/><Relationship Id="rId78" Type="http://schemas.openxmlformats.org/officeDocument/2006/relationships/hyperlink" Target="https://www.stage.community/" TargetMode="External"/><Relationship Id="rId71" Type="http://schemas.openxmlformats.org/officeDocument/2006/relationships/hyperlink" Target="https://www.neospace.ai/" TargetMode="External"/><Relationship Id="rId70" Type="http://schemas.openxmlformats.org/officeDocument/2006/relationships/hyperlink" Target="https://www.codacy.com/" TargetMode="External"/><Relationship Id="rId139" Type="http://schemas.openxmlformats.org/officeDocument/2006/relationships/hyperlink" Target="https://www.meight.com/" TargetMode="External"/><Relationship Id="rId138" Type="http://schemas.openxmlformats.org/officeDocument/2006/relationships/hyperlink" Target="https://heden.co/pt/" TargetMode="External"/><Relationship Id="rId137" Type="http://schemas.openxmlformats.org/officeDocument/2006/relationships/hyperlink" Target="http://oursupport.co" TargetMode="External"/><Relationship Id="rId132" Type="http://schemas.openxmlformats.org/officeDocument/2006/relationships/hyperlink" Target="https://www.processwaregroup.com/" TargetMode="External"/><Relationship Id="rId253" Type="http://schemas.openxmlformats.org/officeDocument/2006/relationships/hyperlink" Target="https://condoconta.com.br/" TargetMode="External"/><Relationship Id="rId131" Type="http://schemas.openxmlformats.org/officeDocument/2006/relationships/hyperlink" Target="https://anybrain.gg/" TargetMode="External"/><Relationship Id="rId252" Type="http://schemas.openxmlformats.org/officeDocument/2006/relationships/hyperlink" Target="https://eqseed.com/" TargetMode="External"/><Relationship Id="rId130" Type="http://schemas.openxmlformats.org/officeDocument/2006/relationships/hyperlink" Target="https://manie.pt/" TargetMode="External"/><Relationship Id="rId251" Type="http://schemas.openxmlformats.org/officeDocument/2006/relationships/hyperlink" Target="https://captei.com.br/" TargetMode="External"/><Relationship Id="rId250" Type="http://schemas.openxmlformats.org/officeDocument/2006/relationships/hyperlink" Target="https://vertown.keepo.bio/" TargetMode="External"/><Relationship Id="rId136" Type="http://schemas.openxmlformats.org/officeDocument/2006/relationships/hyperlink" Target="https://flecto.io/" TargetMode="External"/><Relationship Id="rId257" Type="http://schemas.openxmlformats.org/officeDocument/2006/relationships/drawing" Target="../drawings/drawing5.xml"/><Relationship Id="rId135" Type="http://schemas.openxmlformats.org/officeDocument/2006/relationships/hyperlink" Target="https://www.coreflux.org/" TargetMode="External"/><Relationship Id="rId256" Type="http://schemas.openxmlformats.org/officeDocument/2006/relationships/hyperlink" Target="https://www.sensei.tech/" TargetMode="External"/><Relationship Id="rId134" Type="http://schemas.openxmlformats.org/officeDocument/2006/relationships/hyperlink" Target="https://enging.pt/" TargetMode="External"/><Relationship Id="rId255" Type="http://schemas.openxmlformats.org/officeDocument/2006/relationships/hyperlink" Target="https://avenia.io/" TargetMode="External"/><Relationship Id="rId133" Type="http://schemas.openxmlformats.org/officeDocument/2006/relationships/hyperlink" Target="https://www.girissima.com/" TargetMode="External"/><Relationship Id="rId254" Type="http://schemas.openxmlformats.org/officeDocument/2006/relationships/hyperlink" Target="https://www.principia.net/" TargetMode="External"/><Relationship Id="rId62" Type="http://schemas.openxmlformats.org/officeDocument/2006/relationships/hyperlink" Target="https://nutrium.com/" TargetMode="External"/><Relationship Id="rId61" Type="http://schemas.openxmlformats.org/officeDocument/2006/relationships/hyperlink" Target="https://botcity.dev/" TargetMode="External"/><Relationship Id="rId64" Type="http://schemas.openxmlformats.org/officeDocument/2006/relationships/hyperlink" Target="http://www.platforme.com/" TargetMode="External"/><Relationship Id="rId63" Type="http://schemas.openxmlformats.org/officeDocument/2006/relationships/hyperlink" Target="https://stratioautomotive.com/" TargetMode="External"/><Relationship Id="rId66" Type="http://schemas.openxmlformats.org/officeDocument/2006/relationships/hyperlink" Target="https://noniussolutions.com/" TargetMode="External"/><Relationship Id="rId172" Type="http://schemas.openxmlformats.org/officeDocument/2006/relationships/hyperlink" Target="https://www.meight.com/" TargetMode="External"/><Relationship Id="rId65" Type="http://schemas.openxmlformats.org/officeDocument/2006/relationships/hyperlink" Target="https://gringo.com.vc/" TargetMode="External"/><Relationship Id="rId171" Type="http://schemas.openxmlformats.org/officeDocument/2006/relationships/hyperlink" Target="https://weezie.io/" TargetMode="External"/><Relationship Id="rId68" Type="http://schemas.openxmlformats.org/officeDocument/2006/relationships/hyperlink" Target="https://trigger.systems/" TargetMode="External"/><Relationship Id="rId170" Type="http://schemas.openxmlformats.org/officeDocument/2006/relationships/hyperlink" Target="https://www.getloopos.com/" TargetMode="External"/><Relationship Id="rId67" Type="http://schemas.openxmlformats.org/officeDocument/2006/relationships/hyperlink" Target="https://www.celcoin.com.br/" TargetMode="External"/><Relationship Id="rId60" Type="http://schemas.openxmlformats.org/officeDocument/2006/relationships/hyperlink" Target="https://duelnow.com/" TargetMode="External"/><Relationship Id="rId165" Type="http://schemas.openxmlformats.org/officeDocument/2006/relationships/hyperlink" Target="http://www.goparity.com/" TargetMode="External"/><Relationship Id="rId69" Type="http://schemas.openxmlformats.org/officeDocument/2006/relationships/hyperlink" Target="https://www.musa.co/" TargetMode="External"/><Relationship Id="rId164" Type="http://schemas.openxmlformats.org/officeDocument/2006/relationships/hyperlink" Target="https://www.soundparticles.com/" TargetMode="External"/><Relationship Id="rId163" Type="http://schemas.openxmlformats.org/officeDocument/2006/relationships/hyperlink" Target="https://www.nortech.ai/" TargetMode="External"/><Relationship Id="rId162" Type="http://schemas.openxmlformats.org/officeDocument/2006/relationships/hyperlink" Target="https://cargofive.com/" TargetMode="External"/><Relationship Id="rId169" Type="http://schemas.openxmlformats.org/officeDocument/2006/relationships/hyperlink" Target="https://barkyn.com/" TargetMode="External"/><Relationship Id="rId168" Type="http://schemas.openxmlformats.org/officeDocument/2006/relationships/hyperlink" Target="https://www.bloq.it/" TargetMode="External"/><Relationship Id="rId167" Type="http://schemas.openxmlformats.org/officeDocument/2006/relationships/hyperlink" Target="http://bloq.it" TargetMode="External"/><Relationship Id="rId166" Type="http://schemas.openxmlformats.org/officeDocument/2006/relationships/hyperlink" Target="https://www.progrow.ai/" TargetMode="External"/><Relationship Id="rId51" Type="http://schemas.openxmlformats.org/officeDocument/2006/relationships/hyperlink" Target="https://ubirider.com/" TargetMode="External"/><Relationship Id="rId50" Type="http://schemas.openxmlformats.org/officeDocument/2006/relationships/hyperlink" Target="https://www.advancedcyclonesystems.com/" TargetMode="External"/><Relationship Id="rId53" Type="http://schemas.openxmlformats.org/officeDocument/2006/relationships/hyperlink" Target="https://bhub.com/" TargetMode="External"/><Relationship Id="rId52" Type="http://schemas.openxmlformats.org/officeDocument/2006/relationships/hyperlink" Target="https://www.samisaude.com.br/" TargetMode="External"/><Relationship Id="rId55" Type="http://schemas.openxmlformats.org/officeDocument/2006/relationships/hyperlink" Target="https://genialcare.com.br/" TargetMode="External"/><Relationship Id="rId161" Type="http://schemas.openxmlformats.org/officeDocument/2006/relationships/hyperlink" Target="https://www.hijiffy.com/" TargetMode="External"/><Relationship Id="rId54" Type="http://schemas.openxmlformats.org/officeDocument/2006/relationships/hyperlink" Target="http://www.drconsulta.com/" TargetMode="External"/><Relationship Id="rId160" Type="http://schemas.openxmlformats.org/officeDocument/2006/relationships/hyperlink" Target="https://landing.jobs/" TargetMode="External"/><Relationship Id="rId57" Type="http://schemas.openxmlformats.org/officeDocument/2006/relationships/hyperlink" Target="https://flashapp.com.br/" TargetMode="External"/><Relationship Id="rId56" Type="http://schemas.openxmlformats.org/officeDocument/2006/relationships/hyperlink" Target="https://kamino.com.br/" TargetMode="External"/><Relationship Id="rId159" Type="http://schemas.openxmlformats.org/officeDocument/2006/relationships/hyperlink" Target="http://landing.jobs" TargetMode="External"/><Relationship Id="rId59" Type="http://schemas.openxmlformats.org/officeDocument/2006/relationships/hyperlink" Target="https://www.creditas.com/" TargetMode="External"/><Relationship Id="rId154" Type="http://schemas.openxmlformats.org/officeDocument/2006/relationships/hyperlink" Target="https://glartek.com/" TargetMode="External"/><Relationship Id="rId58" Type="http://schemas.openxmlformats.org/officeDocument/2006/relationships/hyperlink" Target="https://www.pismo.io/" TargetMode="External"/><Relationship Id="rId153" Type="http://schemas.openxmlformats.org/officeDocument/2006/relationships/hyperlink" Target="https://infraspeak.com/pt-br" TargetMode="External"/><Relationship Id="rId152" Type="http://schemas.openxmlformats.org/officeDocument/2006/relationships/hyperlink" Target="https://oceano-fresco.pt/" TargetMode="External"/><Relationship Id="rId151" Type="http://schemas.openxmlformats.org/officeDocument/2006/relationships/hyperlink" Target="https://www.carbocode.com/" TargetMode="External"/><Relationship Id="rId158" Type="http://schemas.openxmlformats.org/officeDocument/2006/relationships/hyperlink" Target="https://sqill.so/" TargetMode="External"/><Relationship Id="rId157" Type="http://schemas.openxmlformats.org/officeDocument/2006/relationships/hyperlink" Target="https://www.fullvenue.ai/" TargetMode="External"/><Relationship Id="rId156" Type="http://schemas.openxmlformats.org/officeDocument/2006/relationships/hyperlink" Target="https://comudel.com/" TargetMode="External"/><Relationship Id="rId155" Type="http://schemas.openxmlformats.org/officeDocument/2006/relationships/hyperlink" Target="https://www.bm2solar.com/" TargetMode="External"/><Relationship Id="rId107" Type="http://schemas.openxmlformats.org/officeDocument/2006/relationships/hyperlink" Target="https://magie.com.br/" TargetMode="External"/><Relationship Id="rId228" Type="http://schemas.openxmlformats.org/officeDocument/2006/relationships/hyperlink" Target="https://bipa.app/" TargetMode="External"/><Relationship Id="rId106" Type="http://schemas.openxmlformats.org/officeDocument/2006/relationships/hyperlink" Target="https://starkbank.com/" TargetMode="External"/><Relationship Id="rId227" Type="http://schemas.openxmlformats.org/officeDocument/2006/relationships/hyperlink" Target="https://www.logcomex.com/" TargetMode="External"/><Relationship Id="rId105" Type="http://schemas.openxmlformats.org/officeDocument/2006/relationships/hyperlink" Target="https://www.pinkapp.com/" TargetMode="External"/><Relationship Id="rId226" Type="http://schemas.openxmlformats.org/officeDocument/2006/relationships/hyperlink" Target="https://www.pagaleve.com.br/" TargetMode="External"/><Relationship Id="rId104" Type="http://schemas.openxmlformats.org/officeDocument/2006/relationships/hyperlink" Target="https://www.onfly.com.br/" TargetMode="External"/><Relationship Id="rId225" Type="http://schemas.openxmlformats.org/officeDocument/2006/relationships/hyperlink" Target="https://escale.ai/" TargetMode="External"/><Relationship Id="rId109" Type="http://schemas.openxmlformats.org/officeDocument/2006/relationships/hyperlink" Target="http://bemagro.com/" TargetMode="External"/><Relationship Id="rId108" Type="http://schemas.openxmlformats.org/officeDocument/2006/relationships/hyperlink" Target="https://jscrambler.com/" TargetMode="External"/><Relationship Id="rId229" Type="http://schemas.openxmlformats.org/officeDocument/2006/relationships/hyperlink" Target="https://www.bluemetrics.ai/" TargetMode="External"/><Relationship Id="rId220" Type="http://schemas.openxmlformats.org/officeDocument/2006/relationships/hyperlink" Target="https://netlex.io/" TargetMode="External"/><Relationship Id="rId103" Type="http://schemas.openxmlformats.org/officeDocument/2006/relationships/hyperlink" Target="https://ruvo.com/pt" TargetMode="External"/><Relationship Id="rId224" Type="http://schemas.openxmlformats.org/officeDocument/2006/relationships/hyperlink" Target="https://solides.com.br/" TargetMode="External"/><Relationship Id="rId102" Type="http://schemas.openxmlformats.org/officeDocument/2006/relationships/hyperlink" Target="https://www.zharta.io/" TargetMode="External"/><Relationship Id="rId223" Type="http://schemas.openxmlformats.org/officeDocument/2006/relationships/hyperlink" Target="https://www.hashdex.com/pt-BR" TargetMode="External"/><Relationship Id="rId101" Type="http://schemas.openxmlformats.org/officeDocument/2006/relationships/hyperlink" Target="https://guestcentric.com/" TargetMode="External"/><Relationship Id="rId222" Type="http://schemas.openxmlformats.org/officeDocument/2006/relationships/hyperlink" Target="https://hoopers.club/" TargetMode="External"/><Relationship Id="rId100" Type="http://schemas.openxmlformats.org/officeDocument/2006/relationships/hyperlink" Target="https://www.getenter.ai/" TargetMode="External"/><Relationship Id="rId221" Type="http://schemas.openxmlformats.org/officeDocument/2006/relationships/hyperlink" Target="https://www.tecnofit.com.br/" TargetMode="External"/><Relationship Id="rId217" Type="http://schemas.openxmlformats.org/officeDocument/2006/relationships/hyperlink" Target="https://www.arvo.com.br/" TargetMode="External"/><Relationship Id="rId216" Type="http://schemas.openxmlformats.org/officeDocument/2006/relationships/hyperlink" Target="https://www.darwinseguros.com/" TargetMode="External"/><Relationship Id="rId215" Type="http://schemas.openxmlformats.org/officeDocument/2006/relationships/hyperlink" Target="https://beepsaude.com.br/" TargetMode="External"/><Relationship Id="rId214" Type="http://schemas.openxmlformats.org/officeDocument/2006/relationships/hyperlink" Target="https://www.rivio.com.br/" TargetMode="External"/><Relationship Id="rId219" Type="http://schemas.openxmlformats.org/officeDocument/2006/relationships/hyperlink" Target="https://velotax.com.br/" TargetMode="External"/><Relationship Id="rId218" Type="http://schemas.openxmlformats.org/officeDocument/2006/relationships/hyperlink" Target="http://www.onze.com.br/" TargetMode="External"/><Relationship Id="rId213" Type="http://schemas.openxmlformats.org/officeDocument/2006/relationships/hyperlink" Target="https://tako.ai/pt/" TargetMode="External"/><Relationship Id="rId212" Type="http://schemas.openxmlformats.org/officeDocument/2006/relationships/hyperlink" Target="https://comp.vc/" TargetMode="External"/><Relationship Id="rId211" Type="http://schemas.openxmlformats.org/officeDocument/2006/relationships/hyperlink" Target="https://www.nuvia.co/" TargetMode="External"/><Relationship Id="rId210" Type="http://schemas.openxmlformats.org/officeDocument/2006/relationships/hyperlink" Target="https://dio.me/" TargetMode="External"/><Relationship Id="rId129" Type="http://schemas.openxmlformats.org/officeDocument/2006/relationships/hyperlink" Target="https://www.tekever.com/" TargetMode="External"/><Relationship Id="rId128" Type="http://schemas.openxmlformats.org/officeDocument/2006/relationships/hyperlink" Target="https://www.semantix.ai/" TargetMode="External"/><Relationship Id="rId249" Type="http://schemas.openxmlformats.org/officeDocument/2006/relationships/hyperlink" Target="https://www.gupy.io/" TargetMode="External"/><Relationship Id="rId127" Type="http://schemas.openxmlformats.org/officeDocument/2006/relationships/hyperlink" Target="https://www.telepatia.ai/pt-br" TargetMode="External"/><Relationship Id="rId248" Type="http://schemas.openxmlformats.org/officeDocument/2006/relationships/hyperlink" Target="http://nagro.com.br/" TargetMode="External"/><Relationship Id="rId126" Type="http://schemas.openxmlformats.org/officeDocument/2006/relationships/hyperlink" Target="https://pols.xyz/" TargetMode="External"/><Relationship Id="rId247" Type="http://schemas.openxmlformats.org/officeDocument/2006/relationships/hyperlink" Target="https://descomplica.com.br/" TargetMode="External"/><Relationship Id="rId121" Type="http://schemas.openxmlformats.org/officeDocument/2006/relationships/hyperlink" Target="https://www.feedzai.com/pt-br/" TargetMode="External"/><Relationship Id="rId242" Type="http://schemas.openxmlformats.org/officeDocument/2006/relationships/hyperlink" Target="https://malga.io/" TargetMode="External"/><Relationship Id="rId120" Type="http://schemas.openxmlformats.org/officeDocument/2006/relationships/hyperlink" Target="https://www.galaxies.com.br/" TargetMode="External"/><Relationship Id="rId241" Type="http://schemas.openxmlformats.org/officeDocument/2006/relationships/hyperlink" Target="https://www.klubi.com.br/" TargetMode="External"/><Relationship Id="rId240" Type="http://schemas.openxmlformats.org/officeDocument/2006/relationships/hyperlink" Target="https://www.digibee.com/" TargetMode="External"/><Relationship Id="rId125" Type="http://schemas.openxmlformats.org/officeDocument/2006/relationships/hyperlink" Target="https://www.jusbrasil.com.br/" TargetMode="External"/><Relationship Id="rId246" Type="http://schemas.openxmlformats.org/officeDocument/2006/relationships/hyperlink" Target="https://stattus4.com/" TargetMode="External"/><Relationship Id="rId124" Type="http://schemas.openxmlformats.org/officeDocument/2006/relationships/hyperlink" Target="https://www.barte.com/" TargetMode="External"/><Relationship Id="rId245" Type="http://schemas.openxmlformats.org/officeDocument/2006/relationships/hyperlink" Target="https://www.gabriel.com.br/home" TargetMode="External"/><Relationship Id="rId123" Type="http://schemas.openxmlformats.org/officeDocument/2006/relationships/hyperlink" Target="https://www.netsonda.pt/" TargetMode="External"/><Relationship Id="rId244" Type="http://schemas.openxmlformats.org/officeDocument/2006/relationships/hyperlink" Target="https://www.asaas.com/" TargetMode="External"/><Relationship Id="rId122" Type="http://schemas.openxmlformats.org/officeDocument/2006/relationships/hyperlink" Target="http://nomadx.com/" TargetMode="External"/><Relationship Id="rId243" Type="http://schemas.openxmlformats.org/officeDocument/2006/relationships/hyperlink" Target="https://caveo.com.br/" TargetMode="External"/><Relationship Id="rId95" Type="http://schemas.openxmlformats.org/officeDocument/2006/relationships/hyperlink" Target="https://lumx.io/" TargetMode="External"/><Relationship Id="rId94" Type="http://schemas.openxmlformats.org/officeDocument/2006/relationships/hyperlink" Target="https://lumx.io/" TargetMode="External"/><Relationship Id="rId97" Type="http://schemas.openxmlformats.org/officeDocument/2006/relationships/hyperlink" Target="https://ethena.fi/" TargetMode="External"/><Relationship Id="rId96" Type="http://schemas.openxmlformats.org/officeDocument/2006/relationships/hyperlink" Target="https://www.kanastra.com.br/" TargetMode="External"/><Relationship Id="rId99" Type="http://schemas.openxmlformats.org/officeDocument/2006/relationships/hyperlink" Target="https://akurateco.com/" TargetMode="External"/><Relationship Id="rId98" Type="http://schemas.openxmlformats.org/officeDocument/2006/relationships/hyperlink" Target="https://www.azos.com.br/" TargetMode="External"/><Relationship Id="rId91" Type="http://schemas.openxmlformats.org/officeDocument/2006/relationships/hyperlink" Target="https://www.cumbuca.com/" TargetMode="External"/><Relationship Id="rId90" Type="http://schemas.openxmlformats.org/officeDocument/2006/relationships/hyperlink" Target="https://agrolend.agr.br/" TargetMode="External"/><Relationship Id="rId93" Type="http://schemas.openxmlformats.org/officeDocument/2006/relationships/hyperlink" Target="http://www.virtuleap.com/" TargetMode="External"/><Relationship Id="rId92" Type="http://schemas.openxmlformats.org/officeDocument/2006/relationships/hyperlink" Target="http://www.trypleez.com/" TargetMode="External"/><Relationship Id="rId118" Type="http://schemas.openxmlformats.org/officeDocument/2006/relationships/hyperlink" Target="https://www.ai-digitalengine.com/" TargetMode="External"/><Relationship Id="rId239" Type="http://schemas.openxmlformats.org/officeDocument/2006/relationships/hyperlink" Target="https://solinftec.com/" TargetMode="External"/><Relationship Id="rId117" Type="http://schemas.openxmlformats.org/officeDocument/2006/relationships/hyperlink" Target="https://qitech.com.br/" TargetMode="External"/><Relationship Id="rId238" Type="http://schemas.openxmlformats.org/officeDocument/2006/relationships/hyperlink" Target="https://www.nomadglobal.com/" TargetMode="External"/><Relationship Id="rId116" Type="http://schemas.openxmlformats.org/officeDocument/2006/relationships/hyperlink" Target="https://www.blip.ai/" TargetMode="External"/><Relationship Id="rId237" Type="http://schemas.openxmlformats.org/officeDocument/2006/relationships/hyperlink" Target="https://www.buser.com.br/" TargetMode="External"/><Relationship Id="rId115" Type="http://schemas.openxmlformats.org/officeDocument/2006/relationships/hyperlink" Target="https://musiversal.com/" TargetMode="External"/><Relationship Id="rId236" Type="http://schemas.openxmlformats.org/officeDocument/2006/relationships/hyperlink" Target="https://lerian.studio/" TargetMode="External"/><Relationship Id="rId119" Type="http://schemas.openxmlformats.org/officeDocument/2006/relationships/hyperlink" Target="https://www.didimo.co/" TargetMode="External"/><Relationship Id="rId110" Type="http://schemas.openxmlformats.org/officeDocument/2006/relationships/hyperlink" Target="https://mobmio.com/" TargetMode="External"/><Relationship Id="rId231" Type="http://schemas.openxmlformats.org/officeDocument/2006/relationships/hyperlink" Target="https://a5x.com.br/" TargetMode="External"/><Relationship Id="rId230" Type="http://schemas.openxmlformats.org/officeDocument/2006/relationships/hyperlink" Target="https://exato.digital/" TargetMode="External"/><Relationship Id="rId114" Type="http://schemas.openxmlformats.org/officeDocument/2006/relationships/hyperlink" Target="https://tivita.com/" TargetMode="External"/><Relationship Id="rId235" Type="http://schemas.openxmlformats.org/officeDocument/2006/relationships/hyperlink" Target="https://monest.com.br/" TargetMode="External"/><Relationship Id="rId113" Type="http://schemas.openxmlformats.org/officeDocument/2006/relationships/hyperlink" Target="https://cayena.com/" TargetMode="External"/><Relationship Id="rId234" Type="http://schemas.openxmlformats.org/officeDocument/2006/relationships/hyperlink" Target="https://novvo.com.br/" TargetMode="External"/><Relationship Id="rId112" Type="http://schemas.openxmlformats.org/officeDocument/2006/relationships/hyperlink" Target="https://inventa.com.br/" TargetMode="External"/><Relationship Id="rId233" Type="http://schemas.openxmlformats.org/officeDocument/2006/relationships/hyperlink" Target="http://www.elleve.com.br/" TargetMode="External"/><Relationship Id="rId111" Type="http://schemas.openxmlformats.org/officeDocument/2006/relationships/hyperlink" Target="https://zenvia.com/" TargetMode="External"/><Relationship Id="rId232" Type="http://schemas.openxmlformats.org/officeDocument/2006/relationships/hyperlink" Target="https://apps.apple.com/us/app/daki-mercado-em-15-minutos/id1542429806" TargetMode="External"/><Relationship Id="rId206" Type="http://schemas.openxmlformats.org/officeDocument/2006/relationships/hyperlink" Target="https://omni.chat/" TargetMode="External"/><Relationship Id="rId205" Type="http://schemas.openxmlformats.org/officeDocument/2006/relationships/hyperlink" Target="https://www.govoll.com/" TargetMode="External"/><Relationship Id="rId204" Type="http://schemas.openxmlformats.org/officeDocument/2006/relationships/hyperlink" Target="https://trinus.co/" TargetMode="External"/><Relationship Id="rId203" Type="http://schemas.openxmlformats.org/officeDocument/2006/relationships/hyperlink" Target="https://www.amicci.com.br/" TargetMode="External"/><Relationship Id="rId209" Type="http://schemas.openxmlformats.org/officeDocument/2006/relationships/hyperlink" Target="https://genica.com.br/" TargetMode="External"/><Relationship Id="rId208" Type="http://schemas.openxmlformats.org/officeDocument/2006/relationships/hyperlink" Target="https://meuagroforte.com.br/" TargetMode="External"/><Relationship Id="rId207" Type="http://schemas.openxmlformats.org/officeDocument/2006/relationships/hyperlink" Target="https://www.noodle.cx/" TargetMode="External"/><Relationship Id="rId202" Type="http://schemas.openxmlformats.org/officeDocument/2006/relationships/hyperlink" Target="https://www.iorq.com.br/" TargetMode="External"/><Relationship Id="rId201" Type="http://schemas.openxmlformats.org/officeDocument/2006/relationships/hyperlink" Target="https://www.zaxapp.com.br/" TargetMode="External"/><Relationship Id="rId200" Type="http://schemas.openxmlformats.org/officeDocument/2006/relationships/hyperlink" Target="https://agrion.com.br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manie.pt/" TargetMode="External"/><Relationship Id="rId190" Type="http://schemas.openxmlformats.org/officeDocument/2006/relationships/hyperlink" Target="https://tako.ai/pt/" TargetMode="External"/><Relationship Id="rId42" Type="http://schemas.openxmlformats.org/officeDocument/2006/relationships/hyperlink" Target="https://www.processwaregroup.com/" TargetMode="External"/><Relationship Id="rId41" Type="http://schemas.openxmlformats.org/officeDocument/2006/relationships/hyperlink" Target="https://anybrain.gg/" TargetMode="External"/><Relationship Id="rId44" Type="http://schemas.openxmlformats.org/officeDocument/2006/relationships/hyperlink" Target="https://www.gigu.app/br" TargetMode="External"/><Relationship Id="rId194" Type="http://schemas.openxmlformats.org/officeDocument/2006/relationships/hyperlink" Target="https://www.darwinseguros.com/" TargetMode="External"/><Relationship Id="rId43" Type="http://schemas.openxmlformats.org/officeDocument/2006/relationships/hyperlink" Target="https://enging.pt/" TargetMode="External"/><Relationship Id="rId193" Type="http://schemas.openxmlformats.org/officeDocument/2006/relationships/hyperlink" Target="https://oceano-fresco.pt/" TargetMode="External"/><Relationship Id="rId46" Type="http://schemas.openxmlformats.org/officeDocument/2006/relationships/hyperlink" Target="https://dio.me/" TargetMode="External"/><Relationship Id="rId192" Type="http://schemas.openxmlformats.org/officeDocument/2006/relationships/hyperlink" Target="https://beepsaude.com.br/" TargetMode="External"/><Relationship Id="rId45" Type="http://schemas.openxmlformats.org/officeDocument/2006/relationships/hyperlink" Target="https://saasuma.com/" TargetMode="External"/><Relationship Id="rId191" Type="http://schemas.openxmlformats.org/officeDocument/2006/relationships/hyperlink" Target="https://www.rivio.com.br/" TargetMode="External"/><Relationship Id="rId48" Type="http://schemas.openxmlformats.org/officeDocument/2006/relationships/hyperlink" Target="https://www.coreflux.org/" TargetMode="External"/><Relationship Id="rId187" Type="http://schemas.openxmlformats.org/officeDocument/2006/relationships/hyperlink" Target="https://www.sensei.tech/" TargetMode="External"/><Relationship Id="rId47" Type="http://schemas.openxmlformats.org/officeDocument/2006/relationships/hyperlink" Target="https://vertown.keepo.bio/" TargetMode="External"/><Relationship Id="rId186" Type="http://schemas.openxmlformats.org/officeDocument/2006/relationships/hyperlink" Target="https://avenia.io/" TargetMode="External"/><Relationship Id="rId185" Type="http://schemas.openxmlformats.org/officeDocument/2006/relationships/hyperlink" Target="https://www.carbocode.com/" TargetMode="External"/><Relationship Id="rId49" Type="http://schemas.openxmlformats.org/officeDocument/2006/relationships/hyperlink" Target="https://flecto.io/" TargetMode="External"/><Relationship Id="rId184" Type="http://schemas.openxmlformats.org/officeDocument/2006/relationships/hyperlink" Target="https://www.codacy.com/" TargetMode="External"/><Relationship Id="rId189" Type="http://schemas.openxmlformats.org/officeDocument/2006/relationships/hyperlink" Target="https://comp.vc/" TargetMode="External"/><Relationship Id="rId188" Type="http://schemas.openxmlformats.org/officeDocument/2006/relationships/hyperlink" Target="https://www.neospace.ai/" TargetMode="External"/><Relationship Id="rId31" Type="http://schemas.openxmlformats.org/officeDocument/2006/relationships/hyperlink" Target="https://pols.xyz/" TargetMode="External"/><Relationship Id="rId30" Type="http://schemas.openxmlformats.org/officeDocument/2006/relationships/hyperlink" Target="https://www.docdigitizer.com/" TargetMode="External"/><Relationship Id="rId33" Type="http://schemas.openxmlformats.org/officeDocument/2006/relationships/hyperlink" Target="https://www.codavel.com/" TargetMode="External"/><Relationship Id="rId183" Type="http://schemas.openxmlformats.org/officeDocument/2006/relationships/hyperlink" Target="https://www.musa.co/" TargetMode="External"/><Relationship Id="rId32" Type="http://schemas.openxmlformats.org/officeDocument/2006/relationships/hyperlink" Target="https://www.noodle.cx/" TargetMode="External"/><Relationship Id="rId182" Type="http://schemas.openxmlformats.org/officeDocument/2006/relationships/hyperlink" Target="http://quan.to/" TargetMode="External"/><Relationship Id="rId35" Type="http://schemas.openxmlformats.org/officeDocument/2006/relationships/hyperlink" Target="https://www.beegol.com/" TargetMode="External"/><Relationship Id="rId181" Type="http://schemas.openxmlformats.org/officeDocument/2006/relationships/hyperlink" Target="https://www.zak.app/" TargetMode="External"/><Relationship Id="rId34" Type="http://schemas.openxmlformats.org/officeDocument/2006/relationships/hyperlink" Target="https://www.konsi.com.br/" TargetMode="External"/><Relationship Id="rId180" Type="http://schemas.openxmlformats.org/officeDocument/2006/relationships/hyperlink" Target="https://www.principia.net/" TargetMode="External"/><Relationship Id="rId37" Type="http://schemas.openxmlformats.org/officeDocument/2006/relationships/hyperlink" Target="https://fasqon.com/" TargetMode="External"/><Relationship Id="rId176" Type="http://schemas.openxmlformats.org/officeDocument/2006/relationships/hyperlink" Target="https://www.monkey.tech/" TargetMode="External"/><Relationship Id="rId36" Type="http://schemas.openxmlformats.org/officeDocument/2006/relationships/hyperlink" Target="http://www.culttivo.com/" TargetMode="External"/><Relationship Id="rId175" Type="http://schemas.openxmlformats.org/officeDocument/2006/relationships/hyperlink" Target="http://www.platforme.com/" TargetMode="External"/><Relationship Id="rId39" Type="http://schemas.openxmlformats.org/officeDocument/2006/relationships/hyperlink" Target="https://www.codavel.com/" TargetMode="External"/><Relationship Id="rId174" Type="http://schemas.openxmlformats.org/officeDocument/2006/relationships/hyperlink" Target="https://stratioautomotive.com/" TargetMode="External"/><Relationship Id="rId38" Type="http://schemas.openxmlformats.org/officeDocument/2006/relationships/hyperlink" Target="https://albato.com/" TargetMode="External"/><Relationship Id="rId173" Type="http://schemas.openxmlformats.org/officeDocument/2006/relationships/hyperlink" Target="https://nutrium.com/" TargetMode="External"/><Relationship Id="rId179" Type="http://schemas.openxmlformats.org/officeDocument/2006/relationships/hyperlink" Target="https://condoconta.com.br/" TargetMode="External"/><Relationship Id="rId178" Type="http://schemas.openxmlformats.org/officeDocument/2006/relationships/hyperlink" Target="https://gringo.com.vc/" TargetMode="External"/><Relationship Id="rId177" Type="http://schemas.openxmlformats.org/officeDocument/2006/relationships/hyperlink" Target="https://genica.com.br/" TargetMode="External"/><Relationship Id="rId20" Type="http://schemas.openxmlformats.org/officeDocument/2006/relationships/hyperlink" Target="http://beamian.com/" TargetMode="External"/><Relationship Id="rId22" Type="http://schemas.openxmlformats.org/officeDocument/2006/relationships/hyperlink" Target="https://www.galaxies.com.br/" TargetMode="External"/><Relationship Id="rId21" Type="http://schemas.openxmlformats.org/officeDocument/2006/relationships/hyperlink" Target="http://www.bitcliq.com/" TargetMode="External"/><Relationship Id="rId24" Type="http://schemas.openxmlformats.org/officeDocument/2006/relationships/hyperlink" Target="https://www.b-parts.com/" TargetMode="External"/><Relationship Id="rId23" Type="http://schemas.openxmlformats.org/officeDocument/2006/relationships/hyperlink" Target="http://b-parts.com/" TargetMode="External"/><Relationship Id="rId26" Type="http://schemas.openxmlformats.org/officeDocument/2006/relationships/hyperlink" Target="https://stattus4.com/" TargetMode="External"/><Relationship Id="rId25" Type="http://schemas.openxmlformats.org/officeDocument/2006/relationships/hyperlink" Target="https://www.govoll.com/" TargetMode="External"/><Relationship Id="rId28" Type="http://schemas.openxmlformats.org/officeDocument/2006/relationships/hyperlink" Target="https://inklusion.pt/" TargetMode="External"/><Relationship Id="rId27" Type="http://schemas.openxmlformats.org/officeDocument/2006/relationships/hyperlink" Target="http://nomadx.com/" TargetMode="External"/><Relationship Id="rId29" Type="http://schemas.openxmlformats.org/officeDocument/2006/relationships/hyperlink" Target="https://socialtalk.io/" TargetMode="External"/><Relationship Id="rId11" Type="http://schemas.openxmlformats.org/officeDocument/2006/relationships/hyperlink" Target="https://digitalmanager.guru/" TargetMode="External"/><Relationship Id="rId10" Type="http://schemas.openxmlformats.org/officeDocument/2006/relationships/hyperlink" Target="https://akurateco.com/" TargetMode="External"/><Relationship Id="rId13" Type="http://schemas.openxmlformats.org/officeDocument/2006/relationships/hyperlink" Target="https://www.pinkapp.com/" TargetMode="External"/><Relationship Id="rId12" Type="http://schemas.openxmlformats.org/officeDocument/2006/relationships/hyperlink" Target="http://gfoundry.com/" TargetMode="External"/><Relationship Id="rId15" Type="http://schemas.openxmlformats.org/officeDocument/2006/relationships/hyperlink" Target="https://mobmio.com/" TargetMode="External"/><Relationship Id="rId198" Type="http://schemas.openxmlformats.org/officeDocument/2006/relationships/hyperlink" Target="https://www.novadax.com.br/" TargetMode="External"/><Relationship Id="rId14" Type="http://schemas.openxmlformats.org/officeDocument/2006/relationships/hyperlink" Target="https://www.bluemetrics.ai/" TargetMode="External"/><Relationship Id="rId197" Type="http://schemas.openxmlformats.org/officeDocument/2006/relationships/hyperlink" Target="http://www.onze.com.br/" TargetMode="External"/><Relationship Id="rId17" Type="http://schemas.openxmlformats.org/officeDocument/2006/relationships/hyperlink" Target="https://www.infinitefoundry.com/" TargetMode="External"/><Relationship Id="rId196" Type="http://schemas.openxmlformats.org/officeDocument/2006/relationships/hyperlink" Target="https://infraspeak.com/pt-br" TargetMode="External"/><Relationship Id="rId16" Type="http://schemas.openxmlformats.org/officeDocument/2006/relationships/hyperlink" Target="https://www.biomimetx.com/" TargetMode="External"/><Relationship Id="rId195" Type="http://schemas.openxmlformats.org/officeDocument/2006/relationships/hyperlink" Target="https://www.arvo.com.br/" TargetMode="External"/><Relationship Id="rId19" Type="http://schemas.openxmlformats.org/officeDocument/2006/relationships/hyperlink" Target="https://monest.com.br/" TargetMode="External"/><Relationship Id="rId18" Type="http://schemas.openxmlformats.org/officeDocument/2006/relationships/hyperlink" Target="https://novvo.com.br/" TargetMode="External"/><Relationship Id="rId199" Type="http://schemas.openxmlformats.org/officeDocument/2006/relationships/hyperlink" Target="https://traive.com.br/" TargetMode="External"/><Relationship Id="rId84" Type="http://schemas.openxmlformats.org/officeDocument/2006/relationships/hyperlink" Target="https://www.soundparticles.com/" TargetMode="External"/><Relationship Id="rId83" Type="http://schemas.openxmlformats.org/officeDocument/2006/relationships/hyperlink" Target="https://www.nortech.ai/" TargetMode="External"/><Relationship Id="rId86" Type="http://schemas.openxmlformats.org/officeDocument/2006/relationships/hyperlink" Target="https://agrolend.agr.br/" TargetMode="External"/><Relationship Id="rId85" Type="http://schemas.openxmlformats.org/officeDocument/2006/relationships/hyperlink" Target="https://voa.health/" TargetMode="External"/><Relationship Id="rId88" Type="http://schemas.openxmlformats.org/officeDocument/2006/relationships/hyperlink" Target="http://www.trypleez.com/" TargetMode="External"/><Relationship Id="rId150" Type="http://schemas.openxmlformats.org/officeDocument/2006/relationships/hyperlink" Target="https://fancollex.com/" TargetMode="External"/><Relationship Id="rId87" Type="http://schemas.openxmlformats.org/officeDocument/2006/relationships/hyperlink" Target="https://www.cumbuca.com/" TargetMode="External"/><Relationship Id="rId89" Type="http://schemas.openxmlformats.org/officeDocument/2006/relationships/hyperlink" Target="http://morada.ai" TargetMode="External"/><Relationship Id="rId80" Type="http://schemas.openxmlformats.org/officeDocument/2006/relationships/hyperlink" Target="https://solides.com.br/" TargetMode="External"/><Relationship Id="rId82" Type="http://schemas.openxmlformats.org/officeDocument/2006/relationships/hyperlink" Target="https://cargofive.com/" TargetMode="External"/><Relationship Id="rId81" Type="http://schemas.openxmlformats.org/officeDocument/2006/relationships/hyperlink" Target="https://www.hijiffy.com/" TargetMode="External"/><Relationship Id="rId1" Type="http://schemas.openxmlformats.org/officeDocument/2006/relationships/hyperlink" Target="https://www.ai-digitalengine.com/" TargetMode="External"/><Relationship Id="rId2" Type="http://schemas.openxmlformats.org/officeDocument/2006/relationships/hyperlink" Target="http://www.bandorasystems.com/" TargetMode="External"/><Relationship Id="rId3" Type="http://schemas.openxmlformats.org/officeDocument/2006/relationships/hyperlink" Target="http://www.avenidas.pt/" TargetMode="External"/><Relationship Id="rId149" Type="http://schemas.openxmlformats.org/officeDocument/2006/relationships/hyperlink" Target="https://www.barte.com/" TargetMode="External"/><Relationship Id="rId4" Type="http://schemas.openxmlformats.org/officeDocument/2006/relationships/hyperlink" Target="http://www.ubiwhere.com/" TargetMode="External"/><Relationship Id="rId148" Type="http://schemas.openxmlformats.org/officeDocument/2006/relationships/hyperlink" Target="https://trinus.co/" TargetMode="External"/><Relationship Id="rId9" Type="http://schemas.openxmlformats.org/officeDocument/2006/relationships/hyperlink" Target="https://geoinova.com.br/" TargetMode="External"/><Relationship Id="rId143" Type="http://schemas.openxmlformats.org/officeDocument/2006/relationships/hyperlink" Target="https://oscar-app.com/pt" TargetMode="External"/><Relationship Id="rId142" Type="http://schemas.openxmlformats.org/officeDocument/2006/relationships/hyperlink" Target="https://www.gabriel.com.br/home" TargetMode="External"/><Relationship Id="rId141" Type="http://schemas.openxmlformats.org/officeDocument/2006/relationships/hyperlink" Target="https://www.asaas.com/" TargetMode="External"/><Relationship Id="rId140" Type="http://schemas.openxmlformats.org/officeDocument/2006/relationships/hyperlink" Target="https://www.iorq.com.br/" TargetMode="External"/><Relationship Id="rId5" Type="http://schemas.openxmlformats.org/officeDocument/2006/relationships/hyperlink" Target="https://trigger.systems/" TargetMode="External"/><Relationship Id="rId147" Type="http://schemas.openxmlformats.org/officeDocument/2006/relationships/hyperlink" Target="https://www.uphillhealth.com/pt" TargetMode="External"/><Relationship Id="rId6" Type="http://schemas.openxmlformats.org/officeDocument/2006/relationships/hyperlink" Target="https://merytu.com/" TargetMode="External"/><Relationship Id="rId146" Type="http://schemas.openxmlformats.org/officeDocument/2006/relationships/hyperlink" Target="https://www.amicci.com.br/" TargetMode="External"/><Relationship Id="rId7" Type="http://schemas.openxmlformats.org/officeDocument/2006/relationships/hyperlink" Target="http://www.magnifinance.com/" TargetMode="External"/><Relationship Id="rId145" Type="http://schemas.openxmlformats.org/officeDocument/2006/relationships/hyperlink" Target="https://www.didimo.co/" TargetMode="External"/><Relationship Id="rId8" Type="http://schemas.openxmlformats.org/officeDocument/2006/relationships/hyperlink" Target="http://www.pluxbiosignals.com/" TargetMode="External"/><Relationship Id="rId144" Type="http://schemas.openxmlformats.org/officeDocument/2006/relationships/hyperlink" Target="https://www.ophiomics.com/" TargetMode="External"/><Relationship Id="rId73" Type="http://schemas.openxmlformats.org/officeDocument/2006/relationships/hyperlink" Target="https://www.tecnofit.com.br/" TargetMode="External"/><Relationship Id="rId72" Type="http://schemas.openxmlformats.org/officeDocument/2006/relationships/hyperlink" Target="http://www.e-schooling.com/" TargetMode="External"/><Relationship Id="rId75" Type="http://schemas.openxmlformats.org/officeDocument/2006/relationships/hyperlink" Target="https://www.stage.community/" TargetMode="External"/><Relationship Id="rId74" Type="http://schemas.openxmlformats.org/officeDocument/2006/relationships/hyperlink" Target="https://hoopers.club/" TargetMode="External"/><Relationship Id="rId77" Type="http://schemas.openxmlformats.org/officeDocument/2006/relationships/hyperlink" Target="http://visio.ai" TargetMode="External"/><Relationship Id="rId76" Type="http://schemas.openxmlformats.org/officeDocument/2006/relationships/hyperlink" Target="https://www.aravita.com/" TargetMode="External"/><Relationship Id="rId79" Type="http://schemas.openxmlformats.org/officeDocument/2006/relationships/hyperlink" Target="https://180s.com.br/" TargetMode="External"/><Relationship Id="rId78" Type="http://schemas.openxmlformats.org/officeDocument/2006/relationships/hyperlink" Target="https://www.visio.ai/" TargetMode="External"/><Relationship Id="rId71" Type="http://schemas.openxmlformats.org/officeDocument/2006/relationships/hyperlink" Target="http://www.biometrid.com/" TargetMode="External"/><Relationship Id="rId70" Type="http://schemas.openxmlformats.org/officeDocument/2006/relationships/hyperlink" Target="https://landing.jobs/" TargetMode="External"/><Relationship Id="rId139" Type="http://schemas.openxmlformats.org/officeDocument/2006/relationships/hyperlink" Target="https://caveo.com.br/" TargetMode="External"/><Relationship Id="rId138" Type="http://schemas.openxmlformats.org/officeDocument/2006/relationships/hyperlink" Target="https://www.mediaprobe.com/" TargetMode="External"/><Relationship Id="rId137" Type="http://schemas.openxmlformats.org/officeDocument/2006/relationships/hyperlink" Target="https://primetag.com/" TargetMode="External"/><Relationship Id="rId132" Type="http://schemas.openxmlformats.org/officeDocument/2006/relationships/hyperlink" Target="https://malga.io/" TargetMode="External"/><Relationship Id="rId131" Type="http://schemas.openxmlformats.org/officeDocument/2006/relationships/hyperlink" Target="https://www.klubi.com.br/" TargetMode="External"/><Relationship Id="rId130" Type="http://schemas.openxmlformats.org/officeDocument/2006/relationships/hyperlink" Target="https://www.zaxapp.com.br/" TargetMode="External"/><Relationship Id="rId136" Type="http://schemas.openxmlformats.org/officeDocument/2006/relationships/hyperlink" Target="https://musiversal.com/" TargetMode="External"/><Relationship Id="rId135" Type="http://schemas.openxmlformats.org/officeDocument/2006/relationships/hyperlink" Target="https://tivita.com/" TargetMode="External"/><Relationship Id="rId134" Type="http://schemas.openxmlformats.org/officeDocument/2006/relationships/hyperlink" Target="https://destaxa.com.br/" TargetMode="External"/><Relationship Id="rId133" Type="http://schemas.openxmlformats.org/officeDocument/2006/relationships/hyperlink" Target="http://bemagro.com/" TargetMode="External"/><Relationship Id="rId62" Type="http://schemas.openxmlformats.org/officeDocument/2006/relationships/hyperlink" Target="https://ubirider.com/" TargetMode="External"/><Relationship Id="rId61" Type="http://schemas.openxmlformats.org/officeDocument/2006/relationships/hyperlink" Target="https://luggit.app/" TargetMode="External"/><Relationship Id="rId64" Type="http://schemas.openxmlformats.org/officeDocument/2006/relationships/hyperlink" Target="https://glartek.com/" TargetMode="External"/><Relationship Id="rId63" Type="http://schemas.openxmlformats.org/officeDocument/2006/relationships/hyperlink" Target="http://sobre.arado.com.br/" TargetMode="External"/><Relationship Id="rId66" Type="http://schemas.openxmlformats.org/officeDocument/2006/relationships/hyperlink" Target="https://comudel.com/" TargetMode="External"/><Relationship Id="rId172" Type="http://schemas.openxmlformats.org/officeDocument/2006/relationships/hyperlink" Target="https://botcity.dev/" TargetMode="External"/><Relationship Id="rId65" Type="http://schemas.openxmlformats.org/officeDocument/2006/relationships/hyperlink" Target="https://www.bm2solar.com/" TargetMode="External"/><Relationship Id="rId171" Type="http://schemas.openxmlformats.org/officeDocument/2006/relationships/hyperlink" Target="https://www.brainr.com/pt-br" TargetMode="External"/><Relationship Id="rId68" Type="http://schemas.openxmlformats.org/officeDocument/2006/relationships/hyperlink" Target="https://sqill.so/" TargetMode="External"/><Relationship Id="rId170" Type="http://schemas.openxmlformats.org/officeDocument/2006/relationships/hyperlink" Target="https://noniussolutions.com/" TargetMode="External"/><Relationship Id="rId67" Type="http://schemas.openxmlformats.org/officeDocument/2006/relationships/hyperlink" Target="https://www.fullvenue.ai/" TargetMode="External"/><Relationship Id="rId60" Type="http://schemas.openxmlformats.org/officeDocument/2006/relationships/hyperlink" Target="https://www.fanofthematch.ai/" TargetMode="External"/><Relationship Id="rId165" Type="http://schemas.openxmlformats.org/officeDocument/2006/relationships/hyperlink" Target="https://realfevr.com/" TargetMode="External"/><Relationship Id="rId69" Type="http://schemas.openxmlformats.org/officeDocument/2006/relationships/hyperlink" Target="http://landing.jobs" TargetMode="External"/><Relationship Id="rId164" Type="http://schemas.openxmlformats.org/officeDocument/2006/relationships/hyperlink" Target="https://www.lyzer.tech/" TargetMode="External"/><Relationship Id="rId163" Type="http://schemas.openxmlformats.org/officeDocument/2006/relationships/hyperlink" Target="https://www.silicolife.com/" TargetMode="External"/><Relationship Id="rId162" Type="http://schemas.openxmlformats.org/officeDocument/2006/relationships/hyperlink" Target="http://www.pitzi.com.br/" TargetMode="External"/><Relationship Id="rId169" Type="http://schemas.openxmlformats.org/officeDocument/2006/relationships/hyperlink" Target="https://eneida.io/" TargetMode="External"/><Relationship Id="rId168" Type="http://schemas.openxmlformats.org/officeDocument/2006/relationships/hyperlink" Target="https://duelnow.com/" TargetMode="External"/><Relationship Id="rId167" Type="http://schemas.openxmlformats.org/officeDocument/2006/relationships/hyperlink" Target="https://meuagroforte.com.br/" TargetMode="External"/><Relationship Id="rId166" Type="http://schemas.openxmlformats.org/officeDocument/2006/relationships/hyperlink" Target="http://www.biosurfit.com/" TargetMode="External"/><Relationship Id="rId51" Type="http://schemas.openxmlformats.org/officeDocument/2006/relationships/hyperlink" Target="https://eqseed.com/" TargetMode="External"/><Relationship Id="rId50" Type="http://schemas.openxmlformats.org/officeDocument/2006/relationships/hyperlink" Target="https://captei.com.br/" TargetMode="External"/><Relationship Id="rId53" Type="http://schemas.openxmlformats.org/officeDocument/2006/relationships/hyperlink" Target="https://www.meight.com/" TargetMode="External"/><Relationship Id="rId52" Type="http://schemas.openxmlformats.org/officeDocument/2006/relationships/hyperlink" Target="http://oursupport.co" TargetMode="External"/><Relationship Id="rId55" Type="http://schemas.openxmlformats.org/officeDocument/2006/relationships/hyperlink" Target="https://www.meight.com/" TargetMode="External"/><Relationship Id="rId161" Type="http://schemas.openxmlformats.org/officeDocument/2006/relationships/hyperlink" Target="https://kamino.com.br/" TargetMode="External"/><Relationship Id="rId54" Type="http://schemas.openxmlformats.org/officeDocument/2006/relationships/hyperlink" Target="https://www.zaask.com/" TargetMode="External"/><Relationship Id="rId160" Type="http://schemas.openxmlformats.org/officeDocument/2006/relationships/hyperlink" Target="https://genialcare.com.br/" TargetMode="External"/><Relationship Id="rId57" Type="http://schemas.openxmlformats.org/officeDocument/2006/relationships/hyperlink" Target="https://salvy.com.br/" TargetMode="External"/><Relationship Id="rId56" Type="http://schemas.openxmlformats.org/officeDocument/2006/relationships/hyperlink" Target="https://www.deepneuronic.com/" TargetMode="External"/><Relationship Id="rId159" Type="http://schemas.openxmlformats.org/officeDocument/2006/relationships/hyperlink" Target="http://www.drconsulta.com/" TargetMode="External"/><Relationship Id="rId59" Type="http://schemas.openxmlformats.org/officeDocument/2006/relationships/hyperlink" Target="https://www.wegho.com/" TargetMode="External"/><Relationship Id="rId154" Type="http://schemas.openxmlformats.org/officeDocument/2006/relationships/hyperlink" Target="https://www.delend.finance/" TargetMode="External"/><Relationship Id="rId58" Type="http://schemas.openxmlformats.org/officeDocument/2006/relationships/hyperlink" Target="https://www.nuvia.co/" TargetMode="External"/><Relationship Id="rId153" Type="http://schemas.openxmlformats.org/officeDocument/2006/relationships/hyperlink" Target="http://nagro.com.br/" TargetMode="External"/><Relationship Id="rId152" Type="http://schemas.openxmlformats.org/officeDocument/2006/relationships/hyperlink" Target="https://omni.chat/" TargetMode="External"/><Relationship Id="rId151" Type="http://schemas.openxmlformats.org/officeDocument/2006/relationships/hyperlink" Target="https://www.telepatia.ai/pt-br" TargetMode="External"/><Relationship Id="rId158" Type="http://schemas.openxmlformats.org/officeDocument/2006/relationships/hyperlink" Target="https://bhub.com/" TargetMode="External"/><Relationship Id="rId157" Type="http://schemas.openxmlformats.org/officeDocument/2006/relationships/hyperlink" Target="https://www.samisaude.com.br/" TargetMode="External"/><Relationship Id="rId156" Type="http://schemas.openxmlformats.org/officeDocument/2006/relationships/hyperlink" Target="https://farmtech.com.br/" TargetMode="External"/><Relationship Id="rId155" Type="http://schemas.openxmlformats.org/officeDocument/2006/relationships/hyperlink" Target="http://dolado.com.br/" TargetMode="External"/><Relationship Id="rId107" Type="http://schemas.openxmlformats.org/officeDocument/2006/relationships/hyperlink" Target="https://liti.com.br/pt" TargetMode="External"/><Relationship Id="rId228" Type="http://schemas.openxmlformats.org/officeDocument/2006/relationships/hyperlink" Target="https://inventa.com.br/" TargetMode="External"/><Relationship Id="rId106" Type="http://schemas.openxmlformats.org/officeDocument/2006/relationships/hyperlink" Target="https://www.dreamshaper.com/" TargetMode="External"/><Relationship Id="rId227" Type="http://schemas.openxmlformats.org/officeDocument/2006/relationships/hyperlink" Target="https://www.digibee.com/" TargetMode="External"/><Relationship Id="rId105" Type="http://schemas.openxmlformats.org/officeDocument/2006/relationships/hyperlink" Target="https://spotlitedata.com/" TargetMode="External"/><Relationship Id="rId226" Type="http://schemas.openxmlformats.org/officeDocument/2006/relationships/hyperlink" Target="https://solinftec.com/" TargetMode="External"/><Relationship Id="rId104" Type="http://schemas.openxmlformats.org/officeDocument/2006/relationships/hyperlink" Target="https://www.hole19golf.com/" TargetMode="External"/><Relationship Id="rId225" Type="http://schemas.openxmlformats.org/officeDocument/2006/relationships/hyperlink" Target="https://www.nomadglobal.com/" TargetMode="External"/><Relationship Id="rId109" Type="http://schemas.openxmlformats.org/officeDocument/2006/relationships/hyperlink" Target="https://www.zharta.io/" TargetMode="External"/><Relationship Id="rId108" Type="http://schemas.openxmlformats.org/officeDocument/2006/relationships/hyperlink" Target="https://guestcentric.com/" TargetMode="External"/><Relationship Id="rId229" Type="http://schemas.openxmlformats.org/officeDocument/2006/relationships/hyperlink" Target="https://cayena.com/" TargetMode="External"/><Relationship Id="rId220" Type="http://schemas.openxmlformats.org/officeDocument/2006/relationships/hyperlink" Target="https://a5x.com.br/" TargetMode="External"/><Relationship Id="rId103" Type="http://schemas.openxmlformats.org/officeDocument/2006/relationships/hyperlink" Target="https://exato.digital/" TargetMode="External"/><Relationship Id="rId224" Type="http://schemas.openxmlformats.org/officeDocument/2006/relationships/hyperlink" Target="https://zenvia.com/" TargetMode="External"/><Relationship Id="rId102" Type="http://schemas.openxmlformats.org/officeDocument/2006/relationships/hyperlink" Target="https://portao3.com.br/" TargetMode="External"/><Relationship Id="rId223" Type="http://schemas.openxmlformats.org/officeDocument/2006/relationships/hyperlink" Target="https://agrion.com.br/" TargetMode="External"/><Relationship Id="rId101" Type="http://schemas.openxmlformats.org/officeDocument/2006/relationships/hyperlink" Target="https://lumx.io/" TargetMode="External"/><Relationship Id="rId222" Type="http://schemas.openxmlformats.org/officeDocument/2006/relationships/hyperlink" Target="https://starkbank.com/" TargetMode="External"/><Relationship Id="rId100" Type="http://schemas.openxmlformats.org/officeDocument/2006/relationships/hyperlink" Target="https://lumx.io/" TargetMode="External"/><Relationship Id="rId221" Type="http://schemas.openxmlformats.org/officeDocument/2006/relationships/hyperlink" Target="https://www.onfly.com.br/" TargetMode="External"/><Relationship Id="rId217" Type="http://schemas.openxmlformats.org/officeDocument/2006/relationships/hyperlink" Target="https://www.bloq.it/" TargetMode="External"/><Relationship Id="rId216" Type="http://schemas.openxmlformats.org/officeDocument/2006/relationships/hyperlink" Target="http://bloq.it" TargetMode="External"/><Relationship Id="rId215" Type="http://schemas.openxmlformats.org/officeDocument/2006/relationships/hyperlink" Target="https://ethena.fi/" TargetMode="External"/><Relationship Id="rId214" Type="http://schemas.openxmlformats.org/officeDocument/2006/relationships/hyperlink" Target="https://www.kanastra.com.br/" TargetMode="External"/><Relationship Id="rId219" Type="http://schemas.openxmlformats.org/officeDocument/2006/relationships/hyperlink" Target="https://www.getenter.ai/" TargetMode="External"/><Relationship Id="rId218" Type="http://schemas.openxmlformats.org/officeDocument/2006/relationships/hyperlink" Target="https://www.azos.com.br/" TargetMode="External"/><Relationship Id="rId213" Type="http://schemas.openxmlformats.org/officeDocument/2006/relationships/hyperlink" Target="https://www.logcomex.com/" TargetMode="External"/><Relationship Id="rId212" Type="http://schemas.openxmlformats.org/officeDocument/2006/relationships/hyperlink" Target="https://www.pagaleve.com.br/" TargetMode="External"/><Relationship Id="rId211" Type="http://schemas.openxmlformats.org/officeDocument/2006/relationships/hyperlink" Target="http://www.capim.com.br/" TargetMode="External"/><Relationship Id="rId210" Type="http://schemas.openxmlformats.org/officeDocument/2006/relationships/hyperlink" Target="https://ng.cash/" TargetMode="External"/><Relationship Id="rId129" Type="http://schemas.openxmlformats.org/officeDocument/2006/relationships/hyperlink" Target="https://www.reckon.ai/" TargetMode="External"/><Relationship Id="rId128" Type="http://schemas.openxmlformats.org/officeDocument/2006/relationships/hyperlink" Target="http://reckon.ai" TargetMode="External"/><Relationship Id="rId127" Type="http://schemas.openxmlformats.org/officeDocument/2006/relationships/hyperlink" Target="https://frentecorretora.com.br/" TargetMode="External"/><Relationship Id="rId126" Type="http://schemas.openxmlformats.org/officeDocument/2006/relationships/hyperlink" Target="https://www.buser.com.br/" TargetMode="External"/><Relationship Id="rId121" Type="http://schemas.openxmlformats.org/officeDocument/2006/relationships/hyperlink" Target="https://www.automaise.com/" TargetMode="External"/><Relationship Id="rId242" Type="http://schemas.openxmlformats.org/officeDocument/2006/relationships/hyperlink" Target="https://provu.com.br/" TargetMode="External"/><Relationship Id="rId120" Type="http://schemas.openxmlformats.org/officeDocument/2006/relationships/hyperlink" Target="https://www.jungle.ai/" TargetMode="External"/><Relationship Id="rId241" Type="http://schemas.openxmlformats.org/officeDocument/2006/relationships/hyperlink" Target="https://www.madeiramadeira.com.br/carreiras" TargetMode="External"/><Relationship Id="rId240" Type="http://schemas.openxmlformats.org/officeDocument/2006/relationships/hyperlink" Target="https://olist.com/" TargetMode="External"/><Relationship Id="rId125" Type="http://schemas.openxmlformats.org/officeDocument/2006/relationships/hyperlink" Target="https://lerian.studio/" TargetMode="External"/><Relationship Id="rId124" Type="http://schemas.openxmlformats.org/officeDocument/2006/relationships/hyperlink" Target="https://evio.pt/" TargetMode="External"/><Relationship Id="rId123" Type="http://schemas.openxmlformats.org/officeDocument/2006/relationships/hyperlink" Target="https://www.exclusible.com/" TargetMode="External"/><Relationship Id="rId244" Type="http://schemas.openxmlformats.org/officeDocument/2006/relationships/drawing" Target="../drawings/drawing6.xml"/><Relationship Id="rId122" Type="http://schemas.openxmlformats.org/officeDocument/2006/relationships/hyperlink" Target="https://sheerme.com/" TargetMode="External"/><Relationship Id="rId243" Type="http://schemas.openxmlformats.org/officeDocument/2006/relationships/hyperlink" Target="https://www.tekever.com/" TargetMode="External"/><Relationship Id="rId95" Type="http://schemas.openxmlformats.org/officeDocument/2006/relationships/hyperlink" Target="https://barkyn.com/" TargetMode="External"/><Relationship Id="rId94" Type="http://schemas.openxmlformats.org/officeDocument/2006/relationships/hyperlink" Target="https://www.progrow.ai/" TargetMode="External"/><Relationship Id="rId97" Type="http://schemas.openxmlformats.org/officeDocument/2006/relationships/hyperlink" Target="https://weezie.io/" TargetMode="External"/><Relationship Id="rId96" Type="http://schemas.openxmlformats.org/officeDocument/2006/relationships/hyperlink" Target="https://www.getloopos.com/" TargetMode="External"/><Relationship Id="rId99" Type="http://schemas.openxmlformats.org/officeDocument/2006/relationships/hyperlink" Target="http://www.virtuleap.com/" TargetMode="External"/><Relationship Id="rId98" Type="http://schemas.openxmlformats.org/officeDocument/2006/relationships/hyperlink" Target="https://colmeia.cx/" TargetMode="External"/><Relationship Id="rId91" Type="http://schemas.openxmlformats.org/officeDocument/2006/relationships/hyperlink" Target="https://www.cromai.com/" TargetMode="External"/><Relationship Id="rId90" Type="http://schemas.openxmlformats.org/officeDocument/2006/relationships/hyperlink" Target="https://morada.ai/" TargetMode="External"/><Relationship Id="rId93" Type="http://schemas.openxmlformats.org/officeDocument/2006/relationships/hyperlink" Target="http://www.goparity.com/" TargetMode="External"/><Relationship Id="rId92" Type="http://schemas.openxmlformats.org/officeDocument/2006/relationships/hyperlink" Target="https://bipa.app/" TargetMode="External"/><Relationship Id="rId118" Type="http://schemas.openxmlformats.org/officeDocument/2006/relationships/hyperlink" Target="http://www.elleve.com.br/" TargetMode="External"/><Relationship Id="rId239" Type="http://schemas.openxmlformats.org/officeDocument/2006/relationships/hyperlink" Target="https://www.celcoin.com.br/" TargetMode="External"/><Relationship Id="rId117" Type="http://schemas.openxmlformats.org/officeDocument/2006/relationships/hyperlink" Target="https://magie.com.br/" TargetMode="External"/><Relationship Id="rId238" Type="http://schemas.openxmlformats.org/officeDocument/2006/relationships/hyperlink" Target="https://www.creditas.com/" TargetMode="External"/><Relationship Id="rId116" Type="http://schemas.openxmlformats.org/officeDocument/2006/relationships/hyperlink" Target="https://produtores.sympla.com.br/" TargetMode="External"/><Relationship Id="rId237" Type="http://schemas.openxmlformats.org/officeDocument/2006/relationships/hyperlink" Target="https://www.pismo.io/" TargetMode="External"/><Relationship Id="rId115" Type="http://schemas.openxmlformats.org/officeDocument/2006/relationships/hyperlink" Target="https://www.visor.ai/" TargetMode="External"/><Relationship Id="rId236" Type="http://schemas.openxmlformats.org/officeDocument/2006/relationships/hyperlink" Target="https://flashapp.com.br/" TargetMode="External"/><Relationship Id="rId119" Type="http://schemas.openxmlformats.org/officeDocument/2006/relationships/hyperlink" Target="https://jscrambler.com/" TargetMode="External"/><Relationship Id="rId110" Type="http://schemas.openxmlformats.org/officeDocument/2006/relationships/hyperlink" Target="https://ethiack.com/" TargetMode="External"/><Relationship Id="rId231" Type="http://schemas.openxmlformats.org/officeDocument/2006/relationships/hyperlink" Target="https://qitech.com.br/" TargetMode="External"/><Relationship Id="rId230" Type="http://schemas.openxmlformats.org/officeDocument/2006/relationships/hyperlink" Target="https://www.blip.ai/" TargetMode="External"/><Relationship Id="rId114" Type="http://schemas.openxmlformats.org/officeDocument/2006/relationships/hyperlink" Target="http://visor.ai" TargetMode="External"/><Relationship Id="rId235" Type="http://schemas.openxmlformats.org/officeDocument/2006/relationships/hyperlink" Target="https://www.gupy.io/" TargetMode="External"/><Relationship Id="rId113" Type="http://schemas.openxmlformats.org/officeDocument/2006/relationships/hyperlink" Target="https://ruvo.com/pt" TargetMode="External"/><Relationship Id="rId234" Type="http://schemas.openxmlformats.org/officeDocument/2006/relationships/hyperlink" Target="https://www.jusbrasil.com.br/" TargetMode="External"/><Relationship Id="rId112" Type="http://schemas.openxmlformats.org/officeDocument/2006/relationships/hyperlink" Target="https://apps.apple.com/us/app/daki-mercado-em-15-minutos/id1542429806" TargetMode="External"/><Relationship Id="rId233" Type="http://schemas.openxmlformats.org/officeDocument/2006/relationships/hyperlink" Target="https://descomplica.com.br/" TargetMode="External"/><Relationship Id="rId111" Type="http://schemas.openxmlformats.org/officeDocument/2006/relationships/hyperlink" Target="https://www.accountfy.com/" TargetMode="External"/><Relationship Id="rId232" Type="http://schemas.openxmlformats.org/officeDocument/2006/relationships/hyperlink" Target="https://www.feedzai.com/pt-br/" TargetMode="External"/><Relationship Id="rId206" Type="http://schemas.openxmlformats.org/officeDocument/2006/relationships/hyperlink" Target="https://www.hashdex.com/pt-BR" TargetMode="External"/><Relationship Id="rId205" Type="http://schemas.openxmlformats.org/officeDocument/2006/relationships/hyperlink" Target="http://www.tembici.com.br/" TargetMode="External"/><Relationship Id="rId204" Type="http://schemas.openxmlformats.org/officeDocument/2006/relationships/hyperlink" Target="https://netlex.io/" TargetMode="External"/><Relationship Id="rId203" Type="http://schemas.openxmlformats.org/officeDocument/2006/relationships/hyperlink" Target="https://velotax.com.br/" TargetMode="External"/><Relationship Id="rId209" Type="http://schemas.openxmlformats.org/officeDocument/2006/relationships/hyperlink" Target="https://escale.ai/" TargetMode="External"/><Relationship Id="rId208" Type="http://schemas.openxmlformats.org/officeDocument/2006/relationships/hyperlink" Target="https://www.swap.financial/" TargetMode="External"/><Relationship Id="rId207" Type="http://schemas.openxmlformats.org/officeDocument/2006/relationships/hyperlink" Target="https://www.neon.com.br/" TargetMode="External"/><Relationship Id="rId202" Type="http://schemas.openxmlformats.org/officeDocument/2006/relationships/hyperlink" Target="http://www.alice.com.br/" TargetMode="External"/><Relationship Id="rId201" Type="http://schemas.openxmlformats.org/officeDocument/2006/relationships/hyperlink" Target="https://unbabel.com/" TargetMode="External"/><Relationship Id="rId200" Type="http://schemas.openxmlformats.org/officeDocument/2006/relationships/hyperlink" Target="https://ume.com.br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magie.com.br/" TargetMode="External"/><Relationship Id="rId190" Type="http://schemas.openxmlformats.org/officeDocument/2006/relationships/hyperlink" Target="https://caveo.com.br/" TargetMode="External"/><Relationship Id="rId42" Type="http://schemas.openxmlformats.org/officeDocument/2006/relationships/hyperlink" Target="https://www.ai-digitalengine.com/" TargetMode="External"/><Relationship Id="rId41" Type="http://schemas.openxmlformats.org/officeDocument/2006/relationships/hyperlink" Target="https://mobmio.com/" TargetMode="External"/><Relationship Id="rId44" Type="http://schemas.openxmlformats.org/officeDocument/2006/relationships/hyperlink" Target="https://www.galaxies.com.br/" TargetMode="External"/><Relationship Id="rId194" Type="http://schemas.openxmlformats.org/officeDocument/2006/relationships/hyperlink" Target="https://produtores.sympla.com.br/" TargetMode="External"/><Relationship Id="rId43" Type="http://schemas.openxmlformats.org/officeDocument/2006/relationships/hyperlink" Target="https://www.didimo.co/" TargetMode="External"/><Relationship Id="rId193" Type="http://schemas.openxmlformats.org/officeDocument/2006/relationships/hyperlink" Target="https://www.accountfy.com/" TargetMode="External"/><Relationship Id="rId46" Type="http://schemas.openxmlformats.org/officeDocument/2006/relationships/hyperlink" Target="https://pols.xyz/" TargetMode="External"/><Relationship Id="rId192" Type="http://schemas.openxmlformats.org/officeDocument/2006/relationships/hyperlink" Target="https://www.sensei.tech/" TargetMode="External"/><Relationship Id="rId45" Type="http://schemas.openxmlformats.org/officeDocument/2006/relationships/hyperlink" Target="http://nomadx.com/" TargetMode="External"/><Relationship Id="rId191" Type="http://schemas.openxmlformats.org/officeDocument/2006/relationships/hyperlink" Target="https://condoconta.com.br/" TargetMode="External"/><Relationship Id="rId48" Type="http://schemas.openxmlformats.org/officeDocument/2006/relationships/hyperlink" Target="https://manie.pt/" TargetMode="External"/><Relationship Id="rId187" Type="http://schemas.openxmlformats.org/officeDocument/2006/relationships/hyperlink" Target="https://a5x.com.br/" TargetMode="External"/><Relationship Id="rId47" Type="http://schemas.openxmlformats.org/officeDocument/2006/relationships/hyperlink" Target="https://www.telepatia.ai/pt-br" TargetMode="External"/><Relationship Id="rId186" Type="http://schemas.openxmlformats.org/officeDocument/2006/relationships/hyperlink" Target="https://www.pagaleve.com.br/" TargetMode="External"/><Relationship Id="rId185" Type="http://schemas.openxmlformats.org/officeDocument/2006/relationships/hyperlink" Target="https://www.tecnofit.com.br/" TargetMode="External"/><Relationship Id="rId49" Type="http://schemas.openxmlformats.org/officeDocument/2006/relationships/hyperlink" Target="https://anybrain.gg/" TargetMode="External"/><Relationship Id="rId184" Type="http://schemas.openxmlformats.org/officeDocument/2006/relationships/hyperlink" Target="http://www.onze.com.br" TargetMode="External"/><Relationship Id="rId189" Type="http://schemas.openxmlformats.org/officeDocument/2006/relationships/hyperlink" Target="https://www.klubi.com.br/" TargetMode="External"/><Relationship Id="rId188" Type="http://schemas.openxmlformats.org/officeDocument/2006/relationships/hyperlink" Target="https://www.digibee.com" TargetMode="External"/><Relationship Id="rId31" Type="http://schemas.openxmlformats.org/officeDocument/2006/relationships/hyperlink" Target="https://www.cumbuca.com/" TargetMode="External"/><Relationship Id="rId30" Type="http://schemas.openxmlformats.org/officeDocument/2006/relationships/hyperlink" Target="https://geoinova.com.br/" TargetMode="External"/><Relationship Id="rId33" Type="http://schemas.openxmlformats.org/officeDocument/2006/relationships/hyperlink" Target="http://www.virtuleap.com" TargetMode="External"/><Relationship Id="rId183" Type="http://schemas.openxmlformats.org/officeDocument/2006/relationships/hyperlink" Target="https://www.arvo.com.br/" TargetMode="External"/><Relationship Id="rId32" Type="http://schemas.openxmlformats.org/officeDocument/2006/relationships/hyperlink" Target="http://www.trypleez.com" TargetMode="External"/><Relationship Id="rId182" Type="http://schemas.openxmlformats.org/officeDocument/2006/relationships/hyperlink" Target="https://www.darwinseguros.com/" TargetMode="External"/><Relationship Id="rId35" Type="http://schemas.openxmlformats.org/officeDocument/2006/relationships/hyperlink" Target="https://lumx.io/" TargetMode="External"/><Relationship Id="rId181" Type="http://schemas.openxmlformats.org/officeDocument/2006/relationships/hyperlink" Target="https://omni.chat/" TargetMode="External"/><Relationship Id="rId34" Type="http://schemas.openxmlformats.org/officeDocument/2006/relationships/hyperlink" Target="https://lumx.io/" TargetMode="External"/><Relationship Id="rId180" Type="http://schemas.openxmlformats.org/officeDocument/2006/relationships/hyperlink" Target="https://colmeia.cx/" TargetMode="External"/><Relationship Id="rId37" Type="http://schemas.openxmlformats.org/officeDocument/2006/relationships/hyperlink" Target="https://www.zharta.io/" TargetMode="External"/><Relationship Id="rId176" Type="http://schemas.openxmlformats.org/officeDocument/2006/relationships/hyperlink" Target="https://eneida.io/" TargetMode="External"/><Relationship Id="rId36" Type="http://schemas.openxmlformats.org/officeDocument/2006/relationships/hyperlink" Target="https://ethena.fi/" TargetMode="External"/><Relationship Id="rId175" Type="http://schemas.openxmlformats.org/officeDocument/2006/relationships/hyperlink" Target="https://inventa.com.br/" TargetMode="External"/><Relationship Id="rId39" Type="http://schemas.openxmlformats.org/officeDocument/2006/relationships/hyperlink" Target="https://www.pinkapp.com/" TargetMode="External"/><Relationship Id="rId174" Type="http://schemas.openxmlformats.org/officeDocument/2006/relationships/hyperlink" Target="https://www.getenter.ai/" TargetMode="External"/><Relationship Id="rId38" Type="http://schemas.openxmlformats.org/officeDocument/2006/relationships/hyperlink" Target="https://ruvo.com/pt" TargetMode="External"/><Relationship Id="rId173" Type="http://schemas.openxmlformats.org/officeDocument/2006/relationships/hyperlink" Target="http://www.kanastra.com.br" TargetMode="External"/><Relationship Id="rId179" Type="http://schemas.openxmlformats.org/officeDocument/2006/relationships/hyperlink" Target="https://provu.com.br/" TargetMode="External"/><Relationship Id="rId178" Type="http://schemas.openxmlformats.org/officeDocument/2006/relationships/hyperlink" Target="https://www.automaise.com/" TargetMode="External"/><Relationship Id="rId177" Type="http://schemas.openxmlformats.org/officeDocument/2006/relationships/hyperlink" Target="https://infraspeak.com/pt-br" TargetMode="External"/><Relationship Id="rId20" Type="http://schemas.openxmlformats.org/officeDocument/2006/relationships/hyperlink" Target="https://www.codavel.com/" TargetMode="External"/><Relationship Id="rId22" Type="http://schemas.openxmlformats.org/officeDocument/2006/relationships/hyperlink" Target="https://saasuma.com/" TargetMode="External"/><Relationship Id="rId21" Type="http://schemas.openxmlformats.org/officeDocument/2006/relationships/hyperlink" Target="https://www.gigu.app/br" TargetMode="External"/><Relationship Id="rId24" Type="http://schemas.openxmlformats.org/officeDocument/2006/relationships/hyperlink" Target="https://duelnow.com/" TargetMode="External"/><Relationship Id="rId23" Type="http://schemas.openxmlformats.org/officeDocument/2006/relationships/hyperlink" Target="https://ubirider.com/" TargetMode="External"/><Relationship Id="rId26" Type="http://schemas.openxmlformats.org/officeDocument/2006/relationships/hyperlink" Target="https://trigger.systems/" TargetMode="External"/><Relationship Id="rId25" Type="http://schemas.openxmlformats.org/officeDocument/2006/relationships/hyperlink" Target="http://www.platforme.com" TargetMode="External"/><Relationship Id="rId28" Type="http://schemas.openxmlformats.org/officeDocument/2006/relationships/hyperlink" Target="http://www.e-schooling.com" TargetMode="External"/><Relationship Id="rId27" Type="http://schemas.openxmlformats.org/officeDocument/2006/relationships/hyperlink" Target="http://www.biometrid.com" TargetMode="External"/><Relationship Id="rId29" Type="http://schemas.openxmlformats.org/officeDocument/2006/relationships/hyperlink" Target="https://www.stage.community/" TargetMode="External"/><Relationship Id="rId11" Type="http://schemas.openxmlformats.org/officeDocument/2006/relationships/hyperlink" Target="https://inklusion.pt" TargetMode="External"/><Relationship Id="rId10" Type="http://schemas.openxmlformats.org/officeDocument/2006/relationships/hyperlink" Target="http://www.bitcliq.com" TargetMode="External"/><Relationship Id="rId13" Type="http://schemas.openxmlformats.org/officeDocument/2006/relationships/hyperlink" Target="https://www.docdigitizer.com/" TargetMode="External"/><Relationship Id="rId12" Type="http://schemas.openxmlformats.org/officeDocument/2006/relationships/hyperlink" Target="https://socialtalk.io" TargetMode="External"/><Relationship Id="rId15" Type="http://schemas.openxmlformats.org/officeDocument/2006/relationships/hyperlink" Target="https://www.aravita.com/" TargetMode="External"/><Relationship Id="rId198" Type="http://schemas.openxmlformats.org/officeDocument/2006/relationships/hyperlink" Target="https://gringo.com.vc/" TargetMode="External"/><Relationship Id="rId14" Type="http://schemas.openxmlformats.org/officeDocument/2006/relationships/hyperlink" Target="https://www.codavel.com/" TargetMode="External"/><Relationship Id="rId197" Type="http://schemas.openxmlformats.org/officeDocument/2006/relationships/hyperlink" Target="https://genialcare.com.br/" TargetMode="External"/><Relationship Id="rId17" Type="http://schemas.openxmlformats.org/officeDocument/2006/relationships/hyperlink" Target="https://portao3.com.br" TargetMode="External"/><Relationship Id="rId196" Type="http://schemas.openxmlformats.org/officeDocument/2006/relationships/hyperlink" Target="https://www.samisaude.com.br/" TargetMode="External"/><Relationship Id="rId16" Type="http://schemas.openxmlformats.org/officeDocument/2006/relationships/hyperlink" Target="https://www.novadax.com.br/" TargetMode="External"/><Relationship Id="rId195" Type="http://schemas.openxmlformats.org/officeDocument/2006/relationships/hyperlink" Target="https://frentecorretora.com.br/" TargetMode="External"/><Relationship Id="rId19" Type="http://schemas.openxmlformats.org/officeDocument/2006/relationships/hyperlink" Target="https://fasqon.com/" TargetMode="External"/><Relationship Id="rId18" Type="http://schemas.openxmlformats.org/officeDocument/2006/relationships/hyperlink" Target="https://voa.health" TargetMode="External"/><Relationship Id="rId199" Type="http://schemas.openxmlformats.org/officeDocument/2006/relationships/hyperlink" Target="https://www.celcoin.com.br/" TargetMode="External"/><Relationship Id="rId84" Type="http://schemas.openxmlformats.org/officeDocument/2006/relationships/hyperlink" Target="http://reckon.ai" TargetMode="External"/><Relationship Id="rId83" Type="http://schemas.openxmlformats.org/officeDocument/2006/relationships/hyperlink" Target="https://evio.pt/" TargetMode="External"/><Relationship Id="rId86" Type="http://schemas.openxmlformats.org/officeDocument/2006/relationships/hyperlink" Target="https://primetag.com/" TargetMode="External"/><Relationship Id="rId85" Type="http://schemas.openxmlformats.org/officeDocument/2006/relationships/hyperlink" Target="https://www.reckon.ai/" TargetMode="External"/><Relationship Id="rId88" Type="http://schemas.openxmlformats.org/officeDocument/2006/relationships/hyperlink" Target="https://fancollex.com/" TargetMode="External"/><Relationship Id="rId150" Type="http://schemas.openxmlformats.org/officeDocument/2006/relationships/hyperlink" Target="https://velotax.com.br/" TargetMode="External"/><Relationship Id="rId87" Type="http://schemas.openxmlformats.org/officeDocument/2006/relationships/hyperlink" Target="https://www.ophiomics.com/" TargetMode="External"/><Relationship Id="rId89" Type="http://schemas.openxmlformats.org/officeDocument/2006/relationships/hyperlink" Target="https://www.silicolife.com/" TargetMode="External"/><Relationship Id="rId80" Type="http://schemas.openxmlformats.org/officeDocument/2006/relationships/hyperlink" Target="https://www.jungle.ai/" TargetMode="External"/><Relationship Id="rId82" Type="http://schemas.openxmlformats.org/officeDocument/2006/relationships/hyperlink" Target="https://www.exclusible.com/" TargetMode="External"/><Relationship Id="rId81" Type="http://schemas.openxmlformats.org/officeDocument/2006/relationships/hyperlink" Target="https://sheerme.com/" TargetMode="External"/><Relationship Id="rId1" Type="http://schemas.openxmlformats.org/officeDocument/2006/relationships/hyperlink" Target="http://gfoundry.com" TargetMode="External"/><Relationship Id="rId2" Type="http://schemas.openxmlformats.org/officeDocument/2006/relationships/hyperlink" Target="https://www.biomimetx.com/" TargetMode="External"/><Relationship Id="rId3" Type="http://schemas.openxmlformats.org/officeDocument/2006/relationships/hyperlink" Target="http://www.bandorasystems.com" TargetMode="External"/><Relationship Id="rId149" Type="http://schemas.openxmlformats.org/officeDocument/2006/relationships/hyperlink" Target="https://www.rivio.com.br/" TargetMode="External"/><Relationship Id="rId4" Type="http://schemas.openxmlformats.org/officeDocument/2006/relationships/hyperlink" Target="https://merytu.com/" TargetMode="External"/><Relationship Id="rId148" Type="http://schemas.openxmlformats.org/officeDocument/2006/relationships/hyperlink" Target="https://tako.ai/pt/" TargetMode="External"/><Relationship Id="rId9" Type="http://schemas.openxmlformats.org/officeDocument/2006/relationships/hyperlink" Target="http://beamian.com" TargetMode="External"/><Relationship Id="rId143" Type="http://schemas.openxmlformats.org/officeDocument/2006/relationships/hyperlink" Target="https://morada.ai/" TargetMode="External"/><Relationship Id="rId142" Type="http://schemas.openxmlformats.org/officeDocument/2006/relationships/hyperlink" Target="http://morada.ai" TargetMode="External"/><Relationship Id="rId141" Type="http://schemas.openxmlformats.org/officeDocument/2006/relationships/hyperlink" Target="https://www.uphillhealth.com/pt" TargetMode="External"/><Relationship Id="rId140" Type="http://schemas.openxmlformats.org/officeDocument/2006/relationships/hyperlink" Target="https://oscar-app.com/pt" TargetMode="External"/><Relationship Id="rId5" Type="http://schemas.openxmlformats.org/officeDocument/2006/relationships/hyperlink" Target="http://www.magnifinance.com" TargetMode="External"/><Relationship Id="rId147" Type="http://schemas.openxmlformats.org/officeDocument/2006/relationships/hyperlink" Target="https://comp.vc/" TargetMode="External"/><Relationship Id="rId6" Type="http://schemas.openxmlformats.org/officeDocument/2006/relationships/hyperlink" Target="http://www.pluxbiosignals.com" TargetMode="External"/><Relationship Id="rId146" Type="http://schemas.openxmlformats.org/officeDocument/2006/relationships/hyperlink" Target="https://www.iorq.com.br/" TargetMode="External"/><Relationship Id="rId7" Type="http://schemas.openxmlformats.org/officeDocument/2006/relationships/hyperlink" Target="https://digitalmanager.guru" TargetMode="External"/><Relationship Id="rId145" Type="http://schemas.openxmlformats.org/officeDocument/2006/relationships/hyperlink" Target="https://www.zaxapp.com.br/" TargetMode="External"/><Relationship Id="rId8" Type="http://schemas.openxmlformats.org/officeDocument/2006/relationships/hyperlink" Target="https://www.infinitefoundry.com/" TargetMode="External"/><Relationship Id="rId144" Type="http://schemas.openxmlformats.org/officeDocument/2006/relationships/hyperlink" Target="https://liti.com.br/pt" TargetMode="External"/><Relationship Id="rId73" Type="http://schemas.openxmlformats.org/officeDocument/2006/relationships/hyperlink" Target="http://www.goparity.com" TargetMode="External"/><Relationship Id="rId72" Type="http://schemas.openxmlformats.org/officeDocument/2006/relationships/hyperlink" Target="https://www.soundparticles.com/" TargetMode="External"/><Relationship Id="rId75" Type="http://schemas.openxmlformats.org/officeDocument/2006/relationships/hyperlink" Target="https://barkyn.com/" TargetMode="External"/><Relationship Id="rId74" Type="http://schemas.openxmlformats.org/officeDocument/2006/relationships/hyperlink" Target="https://www.progrow.ai/" TargetMode="External"/><Relationship Id="rId77" Type="http://schemas.openxmlformats.org/officeDocument/2006/relationships/hyperlink" Target="https://weezie.io" TargetMode="External"/><Relationship Id="rId76" Type="http://schemas.openxmlformats.org/officeDocument/2006/relationships/hyperlink" Target="https://www.getloopos.com/" TargetMode="External"/><Relationship Id="rId79" Type="http://schemas.openxmlformats.org/officeDocument/2006/relationships/hyperlink" Target="https://spotlitedata.com/" TargetMode="External"/><Relationship Id="rId78" Type="http://schemas.openxmlformats.org/officeDocument/2006/relationships/hyperlink" Target="https://www.meight.com/" TargetMode="External"/><Relationship Id="rId71" Type="http://schemas.openxmlformats.org/officeDocument/2006/relationships/hyperlink" Target="https://www.nortech.a" TargetMode="External"/><Relationship Id="rId70" Type="http://schemas.openxmlformats.org/officeDocument/2006/relationships/hyperlink" Target="https://cargofive.com/" TargetMode="External"/><Relationship Id="rId139" Type="http://schemas.openxmlformats.org/officeDocument/2006/relationships/hyperlink" Target="https://www.mediaprobe.com/" TargetMode="External"/><Relationship Id="rId138" Type="http://schemas.openxmlformats.org/officeDocument/2006/relationships/hyperlink" Target="https://www.visor.ai" TargetMode="External"/><Relationship Id="rId137" Type="http://schemas.openxmlformats.org/officeDocument/2006/relationships/hyperlink" Target="http://visor.ai" TargetMode="External"/><Relationship Id="rId132" Type="http://schemas.openxmlformats.org/officeDocument/2006/relationships/hyperlink" Target="http://www.biosurfit.com" TargetMode="External"/><Relationship Id="rId131" Type="http://schemas.openxmlformats.org/officeDocument/2006/relationships/hyperlink" Target="https://www.lyzer.tech/" TargetMode="External"/><Relationship Id="rId130" Type="http://schemas.openxmlformats.org/officeDocument/2006/relationships/hyperlink" Target="https://www.wegho.com/" TargetMode="External"/><Relationship Id="rId136" Type="http://schemas.openxmlformats.org/officeDocument/2006/relationships/hyperlink" Target="https://ethiack.com/" TargetMode="External"/><Relationship Id="rId135" Type="http://schemas.openxmlformats.org/officeDocument/2006/relationships/hyperlink" Target="https://www.dreamshaper.com/" TargetMode="External"/><Relationship Id="rId134" Type="http://schemas.openxmlformats.org/officeDocument/2006/relationships/hyperlink" Target="https://www.hole19golf.com/" TargetMode="External"/><Relationship Id="rId133" Type="http://schemas.openxmlformats.org/officeDocument/2006/relationships/hyperlink" Target="https://www.hijiffy.com/" TargetMode="External"/><Relationship Id="rId62" Type="http://schemas.openxmlformats.org/officeDocument/2006/relationships/hyperlink" Target="https://oceano-fresco.pt/" TargetMode="External"/><Relationship Id="rId61" Type="http://schemas.openxmlformats.org/officeDocument/2006/relationships/hyperlink" Target="https://www.carbocode.com/" TargetMode="External"/><Relationship Id="rId64" Type="http://schemas.openxmlformats.org/officeDocument/2006/relationships/hyperlink" Target="https://www.bm2solar.com/" TargetMode="External"/><Relationship Id="rId63" Type="http://schemas.openxmlformats.org/officeDocument/2006/relationships/hyperlink" Target="https://glartek.com/" TargetMode="External"/><Relationship Id="rId66" Type="http://schemas.openxmlformats.org/officeDocument/2006/relationships/hyperlink" Target="https://www.fullvenue.ai/" TargetMode="External"/><Relationship Id="rId172" Type="http://schemas.openxmlformats.org/officeDocument/2006/relationships/hyperlink" Target="http://www.capim.com.br" TargetMode="External"/><Relationship Id="rId65" Type="http://schemas.openxmlformats.org/officeDocument/2006/relationships/hyperlink" Target="https://comudel.com/" TargetMode="External"/><Relationship Id="rId171" Type="http://schemas.openxmlformats.org/officeDocument/2006/relationships/hyperlink" Target="https://ng.cash/" TargetMode="External"/><Relationship Id="rId68" Type="http://schemas.openxmlformats.org/officeDocument/2006/relationships/hyperlink" Target="http://landing.jobs" TargetMode="External"/><Relationship Id="rId170" Type="http://schemas.openxmlformats.org/officeDocument/2006/relationships/hyperlink" Target="https://www.swap.financial/" TargetMode="External"/><Relationship Id="rId67" Type="http://schemas.openxmlformats.org/officeDocument/2006/relationships/hyperlink" Target="https://sqill.so/" TargetMode="External"/><Relationship Id="rId60" Type="http://schemas.openxmlformats.org/officeDocument/2006/relationships/hyperlink" Target="https://www.brainr.com/pt-br" TargetMode="External"/><Relationship Id="rId165" Type="http://schemas.openxmlformats.org/officeDocument/2006/relationships/hyperlink" Target="https://www.konsi.com.br/" TargetMode="External"/><Relationship Id="rId69" Type="http://schemas.openxmlformats.org/officeDocument/2006/relationships/hyperlink" Target="https://landing.jobs/" TargetMode="External"/><Relationship Id="rId164" Type="http://schemas.openxmlformats.org/officeDocument/2006/relationships/hyperlink" Target="http://quan.to" TargetMode="External"/><Relationship Id="rId163" Type="http://schemas.openxmlformats.org/officeDocument/2006/relationships/hyperlink" Target="https://www.zak.app/" TargetMode="External"/><Relationship Id="rId162" Type="http://schemas.openxmlformats.org/officeDocument/2006/relationships/hyperlink" Target="https://www.monkey.tech" TargetMode="External"/><Relationship Id="rId169" Type="http://schemas.openxmlformats.org/officeDocument/2006/relationships/hyperlink" Target="https://180s.com.br" TargetMode="External"/><Relationship Id="rId168" Type="http://schemas.openxmlformats.org/officeDocument/2006/relationships/hyperlink" Target="http://sobre.arado.com.br" TargetMode="External"/><Relationship Id="rId167" Type="http://schemas.openxmlformats.org/officeDocument/2006/relationships/hyperlink" Target="https://noniussolutions.com/" TargetMode="External"/><Relationship Id="rId166" Type="http://schemas.openxmlformats.org/officeDocument/2006/relationships/hyperlink" Target="https://nutrium.com/" TargetMode="External"/><Relationship Id="rId51" Type="http://schemas.openxmlformats.org/officeDocument/2006/relationships/hyperlink" Target="https://enging.pt/" TargetMode="External"/><Relationship Id="rId50" Type="http://schemas.openxmlformats.org/officeDocument/2006/relationships/hyperlink" Target="https://www.processwaregroup.com/" TargetMode="External"/><Relationship Id="rId53" Type="http://schemas.openxmlformats.org/officeDocument/2006/relationships/hyperlink" Target="https://flecto.io/" TargetMode="External"/><Relationship Id="rId52" Type="http://schemas.openxmlformats.org/officeDocument/2006/relationships/hyperlink" Target="https://www.coreflux.org/" TargetMode="External"/><Relationship Id="rId55" Type="http://schemas.openxmlformats.org/officeDocument/2006/relationships/hyperlink" Target="https://www.zaask.com" TargetMode="External"/><Relationship Id="rId161" Type="http://schemas.openxmlformats.org/officeDocument/2006/relationships/hyperlink" Target="https://farmtech.com.br/" TargetMode="External"/><Relationship Id="rId54" Type="http://schemas.openxmlformats.org/officeDocument/2006/relationships/hyperlink" Target="https://www.meight.com/" TargetMode="External"/><Relationship Id="rId160" Type="http://schemas.openxmlformats.org/officeDocument/2006/relationships/hyperlink" Target="http://www.pitzi.com.br" TargetMode="External"/><Relationship Id="rId57" Type="http://schemas.openxmlformats.org/officeDocument/2006/relationships/hyperlink" Target="https://www.fanofthematch.ai/" TargetMode="External"/><Relationship Id="rId56" Type="http://schemas.openxmlformats.org/officeDocument/2006/relationships/hyperlink" Target="https://www.deepneuronic.com" TargetMode="External"/><Relationship Id="rId159" Type="http://schemas.openxmlformats.org/officeDocument/2006/relationships/hyperlink" Target="http://www.avenidas.pt" TargetMode="External"/><Relationship Id="rId59" Type="http://schemas.openxmlformats.org/officeDocument/2006/relationships/hyperlink" Target="https://realfevr.com/" TargetMode="External"/><Relationship Id="rId154" Type="http://schemas.openxmlformats.org/officeDocument/2006/relationships/hyperlink" Target="https://exato.digital/" TargetMode="External"/><Relationship Id="rId58" Type="http://schemas.openxmlformats.org/officeDocument/2006/relationships/hyperlink" Target="https://luggit.app/" TargetMode="External"/><Relationship Id="rId153" Type="http://schemas.openxmlformats.org/officeDocument/2006/relationships/hyperlink" Target="https://www.bluemetrics.ai/" TargetMode="External"/><Relationship Id="rId152" Type="http://schemas.openxmlformats.org/officeDocument/2006/relationships/hyperlink" Target="https://bipa.app/" TargetMode="External"/><Relationship Id="rId151" Type="http://schemas.openxmlformats.org/officeDocument/2006/relationships/hyperlink" Target="https://www.hashdex.com/pt-BR" TargetMode="External"/><Relationship Id="rId158" Type="http://schemas.openxmlformats.org/officeDocument/2006/relationships/hyperlink" Target="http://nagro.com.br/" TargetMode="External"/><Relationship Id="rId157" Type="http://schemas.openxmlformats.org/officeDocument/2006/relationships/hyperlink" Target="https://malga.io/" TargetMode="External"/><Relationship Id="rId156" Type="http://schemas.openxmlformats.org/officeDocument/2006/relationships/hyperlink" Target="https://monest.com.br/" TargetMode="External"/><Relationship Id="rId155" Type="http://schemas.openxmlformats.org/officeDocument/2006/relationships/hyperlink" Target="http://www.elleve.com.br/" TargetMode="External"/><Relationship Id="rId107" Type="http://schemas.openxmlformats.org/officeDocument/2006/relationships/hyperlink" Target="http://dolado.com.br" TargetMode="External"/><Relationship Id="rId228" Type="http://schemas.openxmlformats.org/officeDocument/2006/relationships/hyperlink" Target="https://solinftec.com/" TargetMode="External"/><Relationship Id="rId106" Type="http://schemas.openxmlformats.org/officeDocument/2006/relationships/hyperlink" Target="https://www.delend.finance/" TargetMode="External"/><Relationship Id="rId227" Type="http://schemas.openxmlformats.org/officeDocument/2006/relationships/hyperlink" Target="https://escale.ai/" TargetMode="External"/><Relationship Id="rId105" Type="http://schemas.openxmlformats.org/officeDocument/2006/relationships/hyperlink" Target="https://www.b-parts.com" TargetMode="External"/><Relationship Id="rId226" Type="http://schemas.openxmlformats.org/officeDocument/2006/relationships/hyperlink" Target="https://www.govoll.com/" TargetMode="External"/><Relationship Id="rId104" Type="http://schemas.openxmlformats.org/officeDocument/2006/relationships/hyperlink" Target="http://www.ubiwhere.com" TargetMode="External"/><Relationship Id="rId225" Type="http://schemas.openxmlformats.org/officeDocument/2006/relationships/hyperlink" Target="https://trinus.co/" TargetMode="External"/><Relationship Id="rId109" Type="http://schemas.openxmlformats.org/officeDocument/2006/relationships/hyperlink" Target="https://www.visio.ai/" TargetMode="External"/><Relationship Id="rId108" Type="http://schemas.openxmlformats.org/officeDocument/2006/relationships/hyperlink" Target="http://visio.ai" TargetMode="External"/><Relationship Id="rId229" Type="http://schemas.openxmlformats.org/officeDocument/2006/relationships/hyperlink" Target="https://descomplica.com.br/" TargetMode="External"/><Relationship Id="rId220" Type="http://schemas.openxmlformats.org/officeDocument/2006/relationships/hyperlink" Target="https://www.neon.com.br/" TargetMode="External"/><Relationship Id="rId103" Type="http://schemas.openxmlformats.org/officeDocument/2006/relationships/hyperlink" Target="https://avenia.io/" TargetMode="External"/><Relationship Id="rId224" Type="http://schemas.openxmlformats.org/officeDocument/2006/relationships/hyperlink" Target="https://www.tekever.com/" TargetMode="External"/><Relationship Id="rId102" Type="http://schemas.openxmlformats.org/officeDocument/2006/relationships/hyperlink" Target="https://eqseed.com/" TargetMode="External"/><Relationship Id="rId223" Type="http://schemas.openxmlformats.org/officeDocument/2006/relationships/hyperlink" Target="https://www.jusbrasil.com.br/" TargetMode="External"/><Relationship Id="rId101" Type="http://schemas.openxmlformats.org/officeDocument/2006/relationships/hyperlink" Target="https://captei.com.br/" TargetMode="External"/><Relationship Id="rId222" Type="http://schemas.openxmlformats.org/officeDocument/2006/relationships/hyperlink" Target="https://www.feedzai.com/pt-br/" TargetMode="External"/><Relationship Id="rId100" Type="http://schemas.openxmlformats.org/officeDocument/2006/relationships/hyperlink" Target="https://vertown.keepo.bio/" TargetMode="External"/><Relationship Id="rId221" Type="http://schemas.openxmlformats.org/officeDocument/2006/relationships/hyperlink" Target="https://www.azos.com.br/" TargetMode="External"/><Relationship Id="rId217" Type="http://schemas.openxmlformats.org/officeDocument/2006/relationships/hyperlink" Target="https://olist.com" TargetMode="External"/><Relationship Id="rId216" Type="http://schemas.openxmlformats.org/officeDocument/2006/relationships/hyperlink" Target="https://www.pismo.io/" TargetMode="External"/><Relationship Id="rId215" Type="http://schemas.openxmlformats.org/officeDocument/2006/relationships/hyperlink" Target="https://flashapp.com.br/" TargetMode="External"/><Relationship Id="rId214" Type="http://schemas.openxmlformats.org/officeDocument/2006/relationships/hyperlink" Target="https://bhub.com/" TargetMode="External"/><Relationship Id="rId219" Type="http://schemas.openxmlformats.org/officeDocument/2006/relationships/hyperlink" Target="http://www.tembici.com.br" TargetMode="External"/><Relationship Id="rId218" Type="http://schemas.openxmlformats.org/officeDocument/2006/relationships/hyperlink" Target="https://unbabel.com" TargetMode="External"/><Relationship Id="rId213" Type="http://schemas.openxmlformats.org/officeDocument/2006/relationships/hyperlink" Target="https://www.principia.net/" TargetMode="External"/><Relationship Id="rId212" Type="http://schemas.openxmlformats.org/officeDocument/2006/relationships/hyperlink" Target="https://www.gabriel.com.br/home" TargetMode="External"/><Relationship Id="rId211" Type="http://schemas.openxmlformats.org/officeDocument/2006/relationships/hyperlink" Target="https://www.buser.com.br/" TargetMode="External"/><Relationship Id="rId210" Type="http://schemas.openxmlformats.org/officeDocument/2006/relationships/hyperlink" Target="https://www.logcomex.com/" TargetMode="External"/><Relationship Id="rId129" Type="http://schemas.openxmlformats.org/officeDocument/2006/relationships/hyperlink" Target="http://oursupport.co" TargetMode="External"/><Relationship Id="rId128" Type="http://schemas.openxmlformats.org/officeDocument/2006/relationships/hyperlink" Target="https://www.barte.com/" TargetMode="External"/><Relationship Id="rId127" Type="http://schemas.openxmlformats.org/officeDocument/2006/relationships/hyperlink" Target="https://musiversal.com/" TargetMode="External"/><Relationship Id="rId126" Type="http://schemas.openxmlformats.org/officeDocument/2006/relationships/hyperlink" Target="https://tivita.com/" TargetMode="External"/><Relationship Id="rId121" Type="http://schemas.openxmlformats.org/officeDocument/2006/relationships/hyperlink" Target="https://akurateco.com/" TargetMode="External"/><Relationship Id="rId242" Type="http://schemas.openxmlformats.org/officeDocument/2006/relationships/hyperlink" Target="https://www.gupy.io/" TargetMode="External"/><Relationship Id="rId120" Type="http://schemas.openxmlformats.org/officeDocument/2006/relationships/hyperlink" Target="https://agrolend.agr.br/" TargetMode="External"/><Relationship Id="rId241" Type="http://schemas.openxmlformats.org/officeDocument/2006/relationships/hyperlink" Target="https://www.asaas.com/" TargetMode="External"/><Relationship Id="rId240" Type="http://schemas.openxmlformats.org/officeDocument/2006/relationships/hyperlink" Target="https://www.nomadglobal.com/" TargetMode="External"/><Relationship Id="rId125" Type="http://schemas.openxmlformats.org/officeDocument/2006/relationships/hyperlink" Target="http://bemagro.com" TargetMode="External"/><Relationship Id="rId124" Type="http://schemas.openxmlformats.org/officeDocument/2006/relationships/hyperlink" Target="https://jscrambler.com/" TargetMode="External"/><Relationship Id="rId123" Type="http://schemas.openxmlformats.org/officeDocument/2006/relationships/hyperlink" Target="https://starkbank.com" TargetMode="External"/><Relationship Id="rId122" Type="http://schemas.openxmlformats.org/officeDocument/2006/relationships/hyperlink" Target="https://guestcentric.com/" TargetMode="External"/><Relationship Id="rId243" Type="http://schemas.openxmlformats.org/officeDocument/2006/relationships/drawing" Target="../drawings/drawing7.xml"/><Relationship Id="rId95" Type="http://schemas.openxmlformats.org/officeDocument/2006/relationships/hyperlink" Target="https://www.nuvia.co/" TargetMode="External"/><Relationship Id="rId94" Type="http://schemas.openxmlformats.org/officeDocument/2006/relationships/hyperlink" Target="https://meuagroforte.com.br/" TargetMode="External"/><Relationship Id="rId97" Type="http://schemas.openxmlformats.org/officeDocument/2006/relationships/hyperlink" Target="https://novvo.com.br/" TargetMode="External"/><Relationship Id="rId96" Type="http://schemas.openxmlformats.org/officeDocument/2006/relationships/hyperlink" Target="https://hoopers.club/" TargetMode="External"/><Relationship Id="rId99" Type="http://schemas.openxmlformats.org/officeDocument/2006/relationships/hyperlink" Target="https://stattus4.com/" TargetMode="External"/><Relationship Id="rId98" Type="http://schemas.openxmlformats.org/officeDocument/2006/relationships/hyperlink" Target="https://lerian.studio/" TargetMode="External"/><Relationship Id="rId91" Type="http://schemas.openxmlformats.org/officeDocument/2006/relationships/hyperlink" Target="https://www.cromai.com/" TargetMode="External"/><Relationship Id="rId90" Type="http://schemas.openxmlformats.org/officeDocument/2006/relationships/hyperlink" Target="https://salvy.com.br/" TargetMode="External"/><Relationship Id="rId93" Type="http://schemas.openxmlformats.org/officeDocument/2006/relationships/hyperlink" Target="https://www.noodle.cx/" TargetMode="External"/><Relationship Id="rId92" Type="http://schemas.openxmlformats.org/officeDocument/2006/relationships/hyperlink" Target="https://agrion.com.br/" TargetMode="External"/><Relationship Id="rId118" Type="http://schemas.openxmlformats.org/officeDocument/2006/relationships/hyperlink" Target="https://www.neospace.ai/" TargetMode="External"/><Relationship Id="rId239" Type="http://schemas.openxmlformats.org/officeDocument/2006/relationships/hyperlink" Target="https://apps.apple.com/us/app/daki-mercado-em-15-minutos/id1542429806" TargetMode="External"/><Relationship Id="rId117" Type="http://schemas.openxmlformats.org/officeDocument/2006/relationships/hyperlink" Target="https://www.codacy.com/" TargetMode="External"/><Relationship Id="rId238" Type="http://schemas.openxmlformats.org/officeDocument/2006/relationships/hyperlink" Target="https://solides.com.br/" TargetMode="External"/><Relationship Id="rId116" Type="http://schemas.openxmlformats.org/officeDocument/2006/relationships/hyperlink" Target="https://stratioautomotive.com/" TargetMode="External"/><Relationship Id="rId237" Type="http://schemas.openxmlformats.org/officeDocument/2006/relationships/hyperlink" Target="https://beepsaude.com.br/" TargetMode="External"/><Relationship Id="rId115" Type="http://schemas.openxmlformats.org/officeDocument/2006/relationships/hyperlink" Target="https://botcity.dev/" TargetMode="External"/><Relationship Id="rId236" Type="http://schemas.openxmlformats.org/officeDocument/2006/relationships/hyperlink" Target="https://www.blip.ai/" TargetMode="External"/><Relationship Id="rId119" Type="http://schemas.openxmlformats.org/officeDocument/2006/relationships/hyperlink" Target="https://traive.com.br/" TargetMode="External"/><Relationship Id="rId110" Type="http://schemas.openxmlformats.org/officeDocument/2006/relationships/hyperlink" Target="https://destaxa.com.br/" TargetMode="External"/><Relationship Id="rId231" Type="http://schemas.openxmlformats.org/officeDocument/2006/relationships/hyperlink" Target="https://www.creditas.com/" TargetMode="External"/><Relationship Id="rId230" Type="http://schemas.openxmlformats.org/officeDocument/2006/relationships/hyperlink" Target="http://www.drconsulta.com" TargetMode="External"/><Relationship Id="rId114" Type="http://schemas.openxmlformats.org/officeDocument/2006/relationships/hyperlink" Target="https://kamino.com.br/" TargetMode="External"/><Relationship Id="rId235" Type="http://schemas.openxmlformats.org/officeDocument/2006/relationships/hyperlink" Target="https://zenvia.com/" TargetMode="External"/><Relationship Id="rId113" Type="http://schemas.openxmlformats.org/officeDocument/2006/relationships/hyperlink" Target="https://albato.com/" TargetMode="External"/><Relationship Id="rId234" Type="http://schemas.openxmlformats.org/officeDocument/2006/relationships/hyperlink" Target="https://www.onfly.com.br/" TargetMode="External"/><Relationship Id="rId112" Type="http://schemas.openxmlformats.org/officeDocument/2006/relationships/hyperlink" Target="http://www.culttivo.com" TargetMode="External"/><Relationship Id="rId233" Type="http://schemas.openxmlformats.org/officeDocument/2006/relationships/hyperlink" Target="http://www.alice.com.b" TargetMode="External"/><Relationship Id="rId111" Type="http://schemas.openxmlformats.org/officeDocument/2006/relationships/hyperlink" Target="https://www.beegol.com/" TargetMode="External"/><Relationship Id="rId232" Type="http://schemas.openxmlformats.org/officeDocument/2006/relationships/hyperlink" Target="https://www.madeiramadeira.com.br/" TargetMode="External"/><Relationship Id="rId206" Type="http://schemas.openxmlformats.org/officeDocument/2006/relationships/hyperlink" Target="https://www.amicci.com.br/" TargetMode="External"/><Relationship Id="rId205" Type="http://schemas.openxmlformats.org/officeDocument/2006/relationships/hyperlink" Target="https://www.bloq.it/" TargetMode="External"/><Relationship Id="rId204" Type="http://schemas.openxmlformats.org/officeDocument/2006/relationships/hyperlink" Target="http://bloq.it" TargetMode="External"/><Relationship Id="rId203" Type="http://schemas.openxmlformats.org/officeDocument/2006/relationships/hyperlink" Target="https://qitech.com.br/" TargetMode="External"/><Relationship Id="rId209" Type="http://schemas.openxmlformats.org/officeDocument/2006/relationships/hyperlink" Target="https://netlex.io/" TargetMode="External"/><Relationship Id="rId208" Type="http://schemas.openxmlformats.org/officeDocument/2006/relationships/hyperlink" Target="https://dio.me" TargetMode="External"/><Relationship Id="rId207" Type="http://schemas.openxmlformats.org/officeDocument/2006/relationships/hyperlink" Target="https://genica.com.br/" TargetMode="External"/><Relationship Id="rId202" Type="http://schemas.openxmlformats.org/officeDocument/2006/relationships/hyperlink" Target="https://cayena.com/" TargetMode="External"/><Relationship Id="rId201" Type="http://schemas.openxmlformats.org/officeDocument/2006/relationships/hyperlink" Target="https://ume.com.br/" TargetMode="External"/><Relationship Id="rId200" Type="http://schemas.openxmlformats.org/officeDocument/2006/relationships/hyperlink" Target="https://www.musa.co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F1" s="1" t="s">
        <v>4</v>
      </c>
      <c r="J1" s="1" t="s">
        <v>5</v>
      </c>
    </row>
    <row r="2">
      <c r="A2" s="4" t="s">
        <v>7</v>
      </c>
      <c r="B2" s="4" t="s">
        <v>11</v>
      </c>
      <c r="C2" s="4" t="s">
        <v>13</v>
      </c>
      <c r="F2" s="1" t="s">
        <v>15</v>
      </c>
    </row>
    <row r="3">
      <c r="A3" s="4" t="s">
        <v>18</v>
      </c>
      <c r="B3" s="4" t="s">
        <v>11</v>
      </c>
      <c r="C3" s="4" t="s">
        <v>23</v>
      </c>
      <c r="F3" s="1" t="s">
        <v>25</v>
      </c>
    </row>
    <row r="4">
      <c r="A4" s="4" t="s">
        <v>30</v>
      </c>
      <c r="B4" s="4" t="s">
        <v>11</v>
      </c>
      <c r="C4" s="4" t="s">
        <v>33</v>
      </c>
      <c r="F4" s="1" t="s">
        <v>35</v>
      </c>
    </row>
    <row r="5">
      <c r="A5" s="4" t="s">
        <v>39</v>
      </c>
      <c r="B5" s="4" t="s">
        <v>11</v>
      </c>
      <c r="C5" s="4" t="s">
        <v>43</v>
      </c>
      <c r="F5" s="1" t="s">
        <v>56</v>
      </c>
    </row>
    <row r="6">
      <c r="A6" s="4" t="s">
        <v>60</v>
      </c>
      <c r="B6" s="4" t="s">
        <v>11</v>
      </c>
      <c r="C6" s="4" t="s">
        <v>64</v>
      </c>
    </row>
    <row r="7">
      <c r="A7" s="4" t="s">
        <v>67</v>
      </c>
      <c r="B7" s="4" t="s">
        <v>11</v>
      </c>
      <c r="C7" s="4" t="s">
        <v>69</v>
      </c>
      <c r="F7" s="1" t="s">
        <v>71</v>
      </c>
    </row>
    <row r="8">
      <c r="A8" s="4" t="s">
        <v>73</v>
      </c>
      <c r="B8" s="4" t="s">
        <v>11</v>
      </c>
      <c r="C8" s="4" t="s">
        <v>75</v>
      </c>
      <c r="F8" s="1" t="s">
        <v>77</v>
      </c>
    </row>
    <row r="9">
      <c r="A9" s="4" t="s">
        <v>80</v>
      </c>
      <c r="B9" s="4" t="s">
        <v>11</v>
      </c>
      <c r="C9" s="4" t="s">
        <v>81</v>
      </c>
      <c r="F9" s="1" t="s">
        <v>82</v>
      </c>
    </row>
    <row r="10">
      <c r="A10" s="4" t="s">
        <v>83</v>
      </c>
      <c r="B10" s="4" t="s">
        <v>11</v>
      </c>
      <c r="C10" s="4" t="s">
        <v>86</v>
      </c>
      <c r="F10" s="1" t="s">
        <v>88</v>
      </c>
    </row>
    <row r="11">
      <c r="A11" s="4" t="s">
        <v>90</v>
      </c>
      <c r="B11" s="4" t="s">
        <v>11</v>
      </c>
      <c r="C11" s="4" t="s">
        <v>91</v>
      </c>
    </row>
    <row r="12">
      <c r="A12" s="4" t="s">
        <v>93</v>
      </c>
      <c r="B12" s="4" t="s">
        <v>11</v>
      </c>
      <c r="C12" s="4" t="s">
        <v>94</v>
      </c>
    </row>
    <row r="13">
      <c r="A13" s="4" t="s">
        <v>96</v>
      </c>
      <c r="B13" s="4" t="s">
        <v>11</v>
      </c>
      <c r="C13" s="4" t="s">
        <v>97</v>
      </c>
    </row>
    <row r="14">
      <c r="A14" s="4" t="s">
        <v>100</v>
      </c>
      <c r="B14" s="4" t="s">
        <v>11</v>
      </c>
      <c r="C14" s="4" t="s">
        <v>102</v>
      </c>
    </row>
    <row r="15">
      <c r="A15" s="4" t="s">
        <v>103</v>
      </c>
      <c r="B15" s="4" t="s">
        <v>11</v>
      </c>
      <c r="C15" s="4" t="s">
        <v>91</v>
      </c>
    </row>
    <row r="16">
      <c r="A16" s="4" t="s">
        <v>107</v>
      </c>
      <c r="B16" s="4" t="s">
        <v>11</v>
      </c>
      <c r="C16" s="4" t="s">
        <v>64</v>
      </c>
    </row>
    <row r="17">
      <c r="A17" s="4" t="s">
        <v>110</v>
      </c>
      <c r="B17" s="4" t="s">
        <v>11</v>
      </c>
      <c r="C17" s="4" t="s">
        <v>112</v>
      </c>
    </row>
    <row r="18">
      <c r="A18" s="4" t="s">
        <v>113</v>
      </c>
      <c r="B18" s="4" t="s">
        <v>11</v>
      </c>
      <c r="C18" s="4" t="s">
        <v>115</v>
      </c>
    </row>
    <row r="19">
      <c r="A19" s="4" t="s">
        <v>116</v>
      </c>
      <c r="B19" s="4" t="s">
        <v>11</v>
      </c>
      <c r="C19" s="4" t="s">
        <v>118</v>
      </c>
    </row>
    <row r="20">
      <c r="A20" s="4" t="s">
        <v>120</v>
      </c>
      <c r="B20" s="4" t="s">
        <v>11</v>
      </c>
      <c r="C20" s="4" t="s">
        <v>121</v>
      </c>
    </row>
    <row r="21">
      <c r="A21" s="4" t="s">
        <v>122</v>
      </c>
      <c r="B21" s="4" t="s">
        <v>11</v>
      </c>
      <c r="C21" s="4" t="s">
        <v>64</v>
      </c>
    </row>
    <row r="22">
      <c r="A22" s="4" t="s">
        <v>125</v>
      </c>
      <c r="B22" s="4" t="s">
        <v>11</v>
      </c>
      <c r="C22" s="4" t="s">
        <v>127</v>
      </c>
    </row>
    <row r="23">
      <c r="A23" s="4" t="s">
        <v>129</v>
      </c>
      <c r="B23" s="4" t="s">
        <v>11</v>
      </c>
      <c r="C23" s="4" t="s">
        <v>127</v>
      </c>
    </row>
    <row r="24">
      <c r="A24" s="4" t="s">
        <v>130</v>
      </c>
      <c r="B24" s="4" t="s">
        <v>11</v>
      </c>
      <c r="C24" s="4" t="s">
        <v>131</v>
      </c>
    </row>
    <row r="25">
      <c r="A25" s="4" t="s">
        <v>133</v>
      </c>
      <c r="B25" s="4" t="s">
        <v>11</v>
      </c>
      <c r="C25" s="4" t="s">
        <v>135</v>
      </c>
    </row>
    <row r="26">
      <c r="A26" s="4" t="s">
        <v>136</v>
      </c>
      <c r="B26" s="4" t="s">
        <v>11</v>
      </c>
      <c r="C26" s="4" t="s">
        <v>138</v>
      </c>
    </row>
    <row r="27">
      <c r="A27" s="4" t="s">
        <v>139</v>
      </c>
      <c r="B27" s="4" t="s">
        <v>11</v>
      </c>
      <c r="C27" s="4" t="s">
        <v>142</v>
      </c>
    </row>
    <row r="28">
      <c r="A28" s="4" t="s">
        <v>145</v>
      </c>
      <c r="B28" s="4" t="s">
        <v>11</v>
      </c>
      <c r="C28" s="4" t="s">
        <v>147</v>
      </c>
    </row>
    <row r="29">
      <c r="A29" s="4" t="s">
        <v>149</v>
      </c>
      <c r="B29" s="4" t="s">
        <v>11</v>
      </c>
      <c r="C29" s="4" t="s">
        <v>64</v>
      </c>
    </row>
    <row r="30">
      <c r="A30" s="4" t="s">
        <v>151</v>
      </c>
      <c r="B30" s="4" t="s">
        <v>11</v>
      </c>
      <c r="C30" s="4" t="s">
        <v>152</v>
      </c>
    </row>
    <row r="31">
      <c r="A31" s="4" t="s">
        <v>155</v>
      </c>
      <c r="B31" s="4" t="s">
        <v>11</v>
      </c>
      <c r="C31" s="4" t="s">
        <v>156</v>
      </c>
    </row>
    <row r="32">
      <c r="A32" s="4" t="s">
        <v>158</v>
      </c>
      <c r="B32" s="4" t="s">
        <v>11</v>
      </c>
      <c r="C32" s="4" t="s">
        <v>160</v>
      </c>
    </row>
    <row r="33">
      <c r="A33" s="4" t="s">
        <v>162</v>
      </c>
      <c r="B33" s="4" t="s">
        <v>11</v>
      </c>
      <c r="C33" s="4" t="s">
        <v>163</v>
      </c>
    </row>
    <row r="34">
      <c r="A34" s="4" t="s">
        <v>164</v>
      </c>
      <c r="B34" s="4" t="s">
        <v>11</v>
      </c>
      <c r="C34" s="4" t="s">
        <v>166</v>
      </c>
    </row>
    <row r="35">
      <c r="A35" s="4" t="s">
        <v>169</v>
      </c>
      <c r="B35" s="4" t="s">
        <v>11</v>
      </c>
      <c r="C35" s="4" t="s">
        <v>173</v>
      </c>
    </row>
    <row r="36">
      <c r="A36" s="4" t="s">
        <v>175</v>
      </c>
      <c r="B36" s="4" t="s">
        <v>11</v>
      </c>
      <c r="C36" s="4" t="s">
        <v>177</v>
      </c>
    </row>
    <row r="37">
      <c r="A37" s="4" t="s">
        <v>178</v>
      </c>
      <c r="B37" s="4" t="s">
        <v>11</v>
      </c>
      <c r="C37" s="4" t="s">
        <v>179</v>
      </c>
    </row>
    <row r="38">
      <c r="A38" s="4" t="s">
        <v>181</v>
      </c>
      <c r="B38" s="4" t="s">
        <v>11</v>
      </c>
      <c r="C38" s="4" t="s">
        <v>183</v>
      </c>
    </row>
    <row r="39">
      <c r="A39" s="4" t="s">
        <v>185</v>
      </c>
      <c r="B39" s="4" t="s">
        <v>11</v>
      </c>
      <c r="C39" s="4" t="s">
        <v>186</v>
      </c>
    </row>
    <row r="40">
      <c r="A40" s="4" t="s">
        <v>189</v>
      </c>
      <c r="B40" s="4" t="s">
        <v>11</v>
      </c>
      <c r="C40" s="4" t="s">
        <v>186</v>
      </c>
    </row>
    <row r="41">
      <c r="A41" s="4" t="s">
        <v>190</v>
      </c>
      <c r="B41" s="4" t="s">
        <v>11</v>
      </c>
      <c r="C41" s="4" t="s">
        <v>193</v>
      </c>
    </row>
    <row r="42">
      <c r="A42" s="4" t="s">
        <v>194</v>
      </c>
      <c r="B42" s="4" t="s">
        <v>196</v>
      </c>
      <c r="C42" s="4" t="s">
        <v>163</v>
      </c>
    </row>
    <row r="43">
      <c r="A43" s="4" t="s">
        <v>199</v>
      </c>
      <c r="B43" s="4" t="s">
        <v>196</v>
      </c>
      <c r="C43" s="4" t="s">
        <v>200</v>
      </c>
    </row>
    <row r="44">
      <c r="A44" s="4" t="s">
        <v>201</v>
      </c>
      <c r="B44" s="4" t="s">
        <v>196</v>
      </c>
      <c r="C44" s="4" t="s">
        <v>203</v>
      </c>
    </row>
    <row r="45">
      <c r="A45" s="4" t="s">
        <v>205</v>
      </c>
      <c r="B45" s="4" t="s">
        <v>196</v>
      </c>
      <c r="C45" s="4" t="s">
        <v>207</v>
      </c>
    </row>
    <row r="46">
      <c r="A46" s="4" t="s">
        <v>208</v>
      </c>
      <c r="B46" s="4" t="s">
        <v>196</v>
      </c>
      <c r="C46" s="4" t="s">
        <v>209</v>
      </c>
    </row>
    <row r="47">
      <c r="A47" s="4" t="s">
        <v>210</v>
      </c>
      <c r="B47" s="4" t="s">
        <v>196</v>
      </c>
      <c r="C47" s="4" t="s">
        <v>212</v>
      </c>
    </row>
    <row r="48">
      <c r="A48" s="4" t="s">
        <v>215</v>
      </c>
      <c r="B48" s="4" t="s">
        <v>196</v>
      </c>
      <c r="C48" s="4" t="s">
        <v>217</v>
      </c>
    </row>
    <row r="49">
      <c r="A49" s="4" t="s">
        <v>219</v>
      </c>
      <c r="B49" s="4" t="s">
        <v>196</v>
      </c>
      <c r="C49" s="4" t="s">
        <v>222</v>
      </c>
    </row>
    <row r="50">
      <c r="A50" s="4" t="s">
        <v>224</v>
      </c>
      <c r="B50" s="4" t="s">
        <v>196</v>
      </c>
      <c r="C50" s="4" t="s">
        <v>226</v>
      </c>
    </row>
    <row r="51">
      <c r="A51" s="4" t="s">
        <v>229</v>
      </c>
      <c r="B51" s="4" t="s">
        <v>196</v>
      </c>
      <c r="C51" s="4" t="s">
        <v>64</v>
      </c>
    </row>
    <row r="52">
      <c r="A52" s="4" t="s">
        <v>232</v>
      </c>
      <c r="B52" s="4" t="s">
        <v>196</v>
      </c>
      <c r="C52" s="4" t="s">
        <v>152</v>
      </c>
    </row>
    <row r="53">
      <c r="A53" s="4" t="s">
        <v>234</v>
      </c>
      <c r="B53" s="4" t="s">
        <v>196</v>
      </c>
      <c r="C53" s="4" t="s">
        <v>94</v>
      </c>
    </row>
    <row r="54">
      <c r="A54" s="4" t="s">
        <v>237</v>
      </c>
      <c r="B54" s="4" t="s">
        <v>196</v>
      </c>
      <c r="C54" s="4" t="s">
        <v>238</v>
      </c>
    </row>
    <row r="55">
      <c r="A55" s="4" t="s">
        <v>240</v>
      </c>
      <c r="B55" s="4" t="s">
        <v>196</v>
      </c>
      <c r="C55" s="4" t="s">
        <v>242</v>
      </c>
    </row>
    <row r="56">
      <c r="A56" s="4" t="s">
        <v>243</v>
      </c>
      <c r="B56" s="4" t="s">
        <v>196</v>
      </c>
      <c r="C56" s="4" t="s">
        <v>244</v>
      </c>
    </row>
    <row r="57">
      <c r="A57" s="4" t="s">
        <v>246</v>
      </c>
      <c r="B57" s="4" t="s">
        <v>196</v>
      </c>
      <c r="C57" s="4" t="s">
        <v>64</v>
      </c>
    </row>
    <row r="58">
      <c r="A58" s="4" t="s">
        <v>249</v>
      </c>
      <c r="B58" s="4" t="s">
        <v>196</v>
      </c>
      <c r="C58" s="4" t="s">
        <v>64</v>
      </c>
    </row>
    <row r="59">
      <c r="A59" s="4" t="s">
        <v>251</v>
      </c>
      <c r="B59" s="4" t="s">
        <v>196</v>
      </c>
      <c r="C59" s="4" t="s">
        <v>252</v>
      </c>
    </row>
    <row r="60">
      <c r="A60" s="4" t="s">
        <v>253</v>
      </c>
      <c r="B60" s="4" t="s">
        <v>196</v>
      </c>
      <c r="C60" s="4" t="s">
        <v>256</v>
      </c>
    </row>
    <row r="61">
      <c r="A61" s="4" t="s">
        <v>257</v>
      </c>
      <c r="B61" s="4" t="s">
        <v>196</v>
      </c>
      <c r="C61" s="4" t="s">
        <v>152</v>
      </c>
    </row>
    <row r="62">
      <c r="A62" s="4" t="s">
        <v>260</v>
      </c>
      <c r="B62" s="4" t="s">
        <v>196</v>
      </c>
      <c r="C62" s="4" t="s">
        <v>262</v>
      </c>
    </row>
    <row r="63">
      <c r="A63" s="4" t="s">
        <v>263</v>
      </c>
      <c r="B63" s="4" t="s">
        <v>196</v>
      </c>
      <c r="C63" s="4" t="s">
        <v>266</v>
      </c>
    </row>
    <row r="64">
      <c r="A64" s="4" t="s">
        <v>268</v>
      </c>
      <c r="B64" s="4" t="s">
        <v>196</v>
      </c>
      <c r="C64" s="4" t="s">
        <v>94</v>
      </c>
    </row>
    <row r="65">
      <c r="A65" s="4" t="s">
        <v>271</v>
      </c>
      <c r="B65" s="4" t="s">
        <v>196</v>
      </c>
      <c r="C65" s="4" t="s">
        <v>272</v>
      </c>
    </row>
    <row r="66">
      <c r="A66" s="4" t="s">
        <v>273</v>
      </c>
      <c r="B66" s="4" t="s">
        <v>196</v>
      </c>
      <c r="C66" s="4" t="s">
        <v>276</v>
      </c>
    </row>
    <row r="67">
      <c r="A67" s="4" t="s">
        <v>279</v>
      </c>
      <c r="B67" s="4" t="s">
        <v>196</v>
      </c>
      <c r="C67" s="4" t="s">
        <v>177</v>
      </c>
    </row>
    <row r="68">
      <c r="A68" s="4" t="s">
        <v>283</v>
      </c>
      <c r="B68" s="4" t="s">
        <v>196</v>
      </c>
      <c r="C68" s="4" t="s">
        <v>156</v>
      </c>
    </row>
    <row r="69">
      <c r="A69" s="4" t="s">
        <v>285</v>
      </c>
      <c r="B69" s="4" t="s">
        <v>196</v>
      </c>
      <c r="C69" s="4" t="s">
        <v>286</v>
      </c>
    </row>
    <row r="70">
      <c r="A70" s="4" t="s">
        <v>288</v>
      </c>
      <c r="B70" s="4" t="s">
        <v>196</v>
      </c>
      <c r="C70" s="4" t="s">
        <v>290</v>
      </c>
    </row>
    <row r="71">
      <c r="A71" s="4" t="s">
        <v>292</v>
      </c>
      <c r="B71" s="4" t="s">
        <v>196</v>
      </c>
      <c r="C71" s="4" t="s">
        <v>212</v>
      </c>
    </row>
    <row r="72">
      <c r="A72" s="4" t="s">
        <v>294</v>
      </c>
      <c r="B72" s="4" t="s">
        <v>196</v>
      </c>
      <c r="C72" s="4" t="s">
        <v>212</v>
      </c>
    </row>
    <row r="73">
      <c r="A73" s="4" t="s">
        <v>296</v>
      </c>
      <c r="B73" s="4" t="s">
        <v>196</v>
      </c>
      <c r="C73" s="4" t="s">
        <v>297</v>
      </c>
    </row>
    <row r="74">
      <c r="A74" s="4" t="s">
        <v>299</v>
      </c>
      <c r="B74" s="4" t="s">
        <v>196</v>
      </c>
      <c r="C74" s="4" t="s">
        <v>301</v>
      </c>
    </row>
    <row r="75">
      <c r="A75" s="4" t="s">
        <v>302</v>
      </c>
      <c r="B75" s="4" t="s">
        <v>196</v>
      </c>
      <c r="C75" s="4" t="s">
        <v>303</v>
      </c>
    </row>
    <row r="76">
      <c r="A76" s="4" t="s">
        <v>305</v>
      </c>
      <c r="B76" s="4" t="s">
        <v>196</v>
      </c>
      <c r="C76" s="4" t="s">
        <v>222</v>
      </c>
    </row>
    <row r="77">
      <c r="A77" s="4" t="s">
        <v>307</v>
      </c>
      <c r="B77" s="4" t="s">
        <v>196</v>
      </c>
      <c r="C77" s="4" t="s">
        <v>308</v>
      </c>
    </row>
    <row r="78">
      <c r="A78" s="4" t="s">
        <v>310</v>
      </c>
      <c r="B78" s="4" t="s">
        <v>196</v>
      </c>
      <c r="C78" s="4" t="s">
        <v>312</v>
      </c>
    </row>
    <row r="79">
      <c r="A79" s="4" t="s">
        <v>315</v>
      </c>
      <c r="B79" s="4" t="s">
        <v>196</v>
      </c>
      <c r="C79" s="4" t="s">
        <v>317</v>
      </c>
    </row>
    <row r="80">
      <c r="A80" s="4" t="s">
        <v>319</v>
      </c>
      <c r="B80" s="4" t="s">
        <v>196</v>
      </c>
      <c r="C80" s="4" t="s">
        <v>322</v>
      </c>
    </row>
    <row r="81">
      <c r="A81" s="4" t="s">
        <v>324</v>
      </c>
      <c r="B81" s="4" t="s">
        <v>196</v>
      </c>
      <c r="C81" s="4" t="s">
        <v>326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8</v>
      </c>
      <c r="C1" s="3" t="s">
        <v>10</v>
      </c>
      <c r="D1" s="3" t="s">
        <v>14</v>
      </c>
      <c r="E1" s="3" t="s">
        <v>16</v>
      </c>
      <c r="F1" s="3" t="s">
        <v>2</v>
      </c>
      <c r="G1" s="3" t="s">
        <v>20</v>
      </c>
      <c r="H1" s="3" t="s">
        <v>22</v>
      </c>
      <c r="I1" s="3" t="s">
        <v>26</v>
      </c>
      <c r="J1" s="3" t="s">
        <v>29</v>
      </c>
      <c r="K1" s="3" t="s">
        <v>31</v>
      </c>
      <c r="L1" s="3" t="s">
        <v>32</v>
      </c>
    </row>
    <row r="2">
      <c r="A2" s="3" t="s">
        <v>36</v>
      </c>
      <c r="B2" s="3" t="s">
        <v>38</v>
      </c>
      <c r="C2" s="3" t="s">
        <v>41</v>
      </c>
      <c r="D2" s="3" t="s">
        <v>44</v>
      </c>
      <c r="E2" s="3" t="s">
        <v>46</v>
      </c>
      <c r="F2" s="3" t="s">
        <v>48</v>
      </c>
      <c r="G2" s="6">
        <v>49895.0</v>
      </c>
      <c r="H2" s="7">
        <v>44817.0</v>
      </c>
      <c r="I2" s="3" t="s">
        <v>68</v>
      </c>
      <c r="J2" s="3" t="s">
        <v>70</v>
      </c>
      <c r="K2" s="3" t="s">
        <v>70</v>
      </c>
      <c r="L2" s="3" t="s">
        <v>72</v>
      </c>
    </row>
    <row r="3">
      <c r="A3" s="3" t="s">
        <v>74</v>
      </c>
      <c r="B3" s="3" t="s">
        <v>76</v>
      </c>
      <c r="C3" s="3" t="s">
        <v>78</v>
      </c>
      <c r="D3" s="3" t="s">
        <v>79</v>
      </c>
      <c r="E3" s="3" t="s">
        <v>46</v>
      </c>
      <c r="F3" s="3" t="s">
        <v>48</v>
      </c>
      <c r="G3" s="6">
        <v>50099.0</v>
      </c>
      <c r="H3" s="7">
        <v>44592.0</v>
      </c>
      <c r="I3" s="3" t="s">
        <v>84</v>
      </c>
      <c r="J3" s="3" t="s">
        <v>85</v>
      </c>
      <c r="K3" s="3" t="s">
        <v>87</v>
      </c>
      <c r="L3" s="3" t="s">
        <v>72</v>
      </c>
    </row>
    <row r="4">
      <c r="A4" s="3" t="s">
        <v>89</v>
      </c>
      <c r="B4" s="3" t="s">
        <v>59</v>
      </c>
      <c r="C4" s="3" t="s">
        <v>61</v>
      </c>
      <c r="D4" s="3" t="s">
        <v>92</v>
      </c>
      <c r="E4" s="3" t="s">
        <v>46</v>
      </c>
      <c r="F4" s="3" t="s">
        <v>48</v>
      </c>
      <c r="G4" s="6">
        <v>50105.0</v>
      </c>
      <c r="H4" s="7">
        <v>43983.0</v>
      </c>
      <c r="I4" s="3" t="s">
        <v>59</v>
      </c>
      <c r="J4" s="3" t="s">
        <v>95</v>
      </c>
      <c r="K4" s="3" t="s">
        <v>87</v>
      </c>
      <c r="L4" s="3" t="s">
        <v>72</v>
      </c>
    </row>
    <row r="5">
      <c r="A5" s="3" t="s">
        <v>98</v>
      </c>
      <c r="B5" s="3" t="s">
        <v>38</v>
      </c>
      <c r="C5" s="3" t="s">
        <v>99</v>
      </c>
      <c r="D5" s="3" t="s">
        <v>101</v>
      </c>
      <c r="E5" s="3" t="s">
        <v>46</v>
      </c>
      <c r="F5" s="3" t="s">
        <v>48</v>
      </c>
      <c r="G5" s="6">
        <v>50259.0</v>
      </c>
      <c r="H5" s="7">
        <v>45146.0</v>
      </c>
      <c r="I5" s="3" t="s">
        <v>68</v>
      </c>
      <c r="J5" s="3" t="s">
        <v>104</v>
      </c>
      <c r="K5" s="3" t="s">
        <v>105</v>
      </c>
      <c r="L5" s="3" t="s">
        <v>106</v>
      </c>
    </row>
    <row r="6">
      <c r="A6" s="3" t="s">
        <v>108</v>
      </c>
      <c r="B6" s="3" t="s">
        <v>76</v>
      </c>
      <c r="C6" s="3" t="s">
        <v>109</v>
      </c>
      <c r="D6" s="3" t="s">
        <v>111</v>
      </c>
      <c r="E6" s="3" t="s">
        <v>46</v>
      </c>
      <c r="F6" s="3" t="s">
        <v>48</v>
      </c>
      <c r="G6" s="6">
        <v>50484.0</v>
      </c>
      <c r="H6" s="7">
        <v>44369.0</v>
      </c>
      <c r="I6" s="3" t="s">
        <v>84</v>
      </c>
      <c r="J6" s="3" t="s">
        <v>114</v>
      </c>
      <c r="K6" s="3" t="s">
        <v>87</v>
      </c>
      <c r="L6" s="3" t="s">
        <v>72</v>
      </c>
    </row>
    <row r="7">
      <c r="A7" s="3" t="s">
        <v>117</v>
      </c>
      <c r="B7" s="3" t="s">
        <v>38</v>
      </c>
      <c r="C7" s="3" t="s">
        <v>78</v>
      </c>
      <c r="D7" s="3" t="s">
        <v>119</v>
      </c>
      <c r="E7" s="3" t="s">
        <v>46</v>
      </c>
      <c r="F7" s="3" t="s">
        <v>48</v>
      </c>
      <c r="G7" s="6">
        <v>50570.0</v>
      </c>
      <c r="H7" s="7">
        <v>45776.0</v>
      </c>
      <c r="I7" s="3" t="s">
        <v>68</v>
      </c>
      <c r="J7" s="3" t="s">
        <v>123</v>
      </c>
      <c r="K7" s="3" t="s">
        <v>124</v>
      </c>
      <c r="L7" s="3" t="s">
        <v>72</v>
      </c>
    </row>
    <row r="8">
      <c r="A8" s="3" t="s">
        <v>126</v>
      </c>
      <c r="B8" s="3" t="s">
        <v>59</v>
      </c>
      <c r="C8" s="3" t="s">
        <v>109</v>
      </c>
      <c r="D8" s="3" t="s">
        <v>128</v>
      </c>
      <c r="E8" s="3" t="s">
        <v>46</v>
      </c>
      <c r="F8" s="3" t="s">
        <v>48</v>
      </c>
      <c r="G8" s="6">
        <v>50983.0</v>
      </c>
      <c r="H8" s="7">
        <v>44649.0</v>
      </c>
      <c r="I8" s="3" t="s">
        <v>59</v>
      </c>
      <c r="J8" s="3" t="s">
        <v>132</v>
      </c>
      <c r="K8" s="3" t="s">
        <v>132</v>
      </c>
      <c r="L8" s="3" t="s">
        <v>72</v>
      </c>
    </row>
    <row r="9">
      <c r="A9" s="3" t="s">
        <v>134</v>
      </c>
      <c r="B9" s="3" t="s">
        <v>76</v>
      </c>
      <c r="C9" s="3" t="s">
        <v>61</v>
      </c>
      <c r="D9" s="3" t="s">
        <v>137</v>
      </c>
      <c r="E9" s="3" t="s">
        <v>46</v>
      </c>
      <c r="F9" s="3" t="s">
        <v>48</v>
      </c>
      <c r="G9" s="6">
        <v>50993.0</v>
      </c>
      <c r="H9" s="7">
        <v>44614.0</v>
      </c>
      <c r="I9" s="3" t="s">
        <v>84</v>
      </c>
      <c r="J9" s="3" t="s">
        <v>141</v>
      </c>
      <c r="K9" s="3" t="s">
        <v>143</v>
      </c>
      <c r="L9" s="3" t="s">
        <v>72</v>
      </c>
    </row>
    <row r="10">
      <c r="A10" s="3" t="s">
        <v>146</v>
      </c>
      <c r="B10" s="3" t="s">
        <v>38</v>
      </c>
      <c r="C10" s="3" t="s">
        <v>78</v>
      </c>
      <c r="D10" s="3" t="s">
        <v>148</v>
      </c>
      <c r="E10" s="3" t="s">
        <v>150</v>
      </c>
      <c r="F10" s="3" t="s">
        <v>48</v>
      </c>
      <c r="G10" s="6">
        <v>51024.0</v>
      </c>
      <c r="H10" s="7">
        <v>44721.0</v>
      </c>
      <c r="I10" s="3" t="s">
        <v>68</v>
      </c>
      <c r="J10" s="3" t="s">
        <v>153</v>
      </c>
      <c r="K10" s="3" t="s">
        <v>154</v>
      </c>
      <c r="L10" s="3" t="s">
        <v>72</v>
      </c>
    </row>
    <row r="11">
      <c r="A11" s="3" t="s">
        <v>157</v>
      </c>
      <c r="B11" s="3" t="s">
        <v>59</v>
      </c>
      <c r="C11" s="3" t="s">
        <v>78</v>
      </c>
      <c r="D11" s="3" t="s">
        <v>159</v>
      </c>
      <c r="E11" s="3" t="s">
        <v>46</v>
      </c>
      <c r="F11" s="3" t="s">
        <v>48</v>
      </c>
      <c r="G11" s="6">
        <v>51432.0</v>
      </c>
      <c r="H11" s="14">
        <v>44511.0</v>
      </c>
      <c r="I11" s="3" t="s">
        <v>167</v>
      </c>
      <c r="J11" s="3" t="s">
        <v>168</v>
      </c>
      <c r="K11" s="3" t="s">
        <v>168</v>
      </c>
      <c r="L11" s="3" t="s">
        <v>172</v>
      </c>
    </row>
    <row r="12">
      <c r="A12" s="3" t="s">
        <v>174</v>
      </c>
      <c r="B12" s="3" t="s">
        <v>76</v>
      </c>
      <c r="C12" s="3" t="s">
        <v>78</v>
      </c>
      <c r="D12" s="3" t="s">
        <v>176</v>
      </c>
      <c r="E12" s="3" t="s">
        <v>46</v>
      </c>
      <c r="F12" s="3" t="s">
        <v>48</v>
      </c>
      <c r="G12" s="6">
        <v>51440.0</v>
      </c>
      <c r="H12" s="7">
        <v>45354.0</v>
      </c>
      <c r="I12" s="3" t="s">
        <v>84</v>
      </c>
      <c r="J12" s="3" t="s">
        <v>180</v>
      </c>
      <c r="K12" s="3" t="s">
        <v>182</v>
      </c>
      <c r="L12" s="3" t="s">
        <v>172</v>
      </c>
    </row>
    <row r="13">
      <c r="A13" s="3" t="s">
        <v>184</v>
      </c>
      <c r="B13" s="3" t="s">
        <v>76</v>
      </c>
      <c r="C13" s="3" t="s">
        <v>109</v>
      </c>
      <c r="D13" s="3" t="s">
        <v>187</v>
      </c>
      <c r="E13" s="3" t="s">
        <v>188</v>
      </c>
      <c r="F13" s="3" t="s">
        <v>48</v>
      </c>
      <c r="G13" s="6">
        <v>51732.0</v>
      </c>
      <c r="H13" s="7">
        <v>44713.0</v>
      </c>
      <c r="I13" s="3" t="s">
        <v>84</v>
      </c>
      <c r="J13" s="3" t="s">
        <v>191</v>
      </c>
      <c r="K13" s="3" t="s">
        <v>192</v>
      </c>
      <c r="L13" s="3" t="s">
        <v>72</v>
      </c>
    </row>
    <row r="14">
      <c r="A14" s="3" t="s">
        <v>195</v>
      </c>
      <c r="B14" s="3" t="s">
        <v>76</v>
      </c>
      <c r="C14" s="3" t="s">
        <v>197</v>
      </c>
      <c r="D14" s="3" t="s">
        <v>198</v>
      </c>
      <c r="E14" s="3" t="s">
        <v>46</v>
      </c>
      <c r="F14" s="3" t="s">
        <v>48</v>
      </c>
      <c r="G14" s="6">
        <v>52268.0</v>
      </c>
      <c r="H14" s="14">
        <v>44490.0</v>
      </c>
      <c r="I14" s="3" t="s">
        <v>84</v>
      </c>
      <c r="J14" s="3" t="s">
        <v>202</v>
      </c>
      <c r="K14" s="3" t="s">
        <v>204</v>
      </c>
      <c r="L14" s="3" t="s">
        <v>72</v>
      </c>
    </row>
    <row r="15">
      <c r="A15" s="3" t="s">
        <v>206</v>
      </c>
      <c r="B15" s="3" t="s">
        <v>59</v>
      </c>
      <c r="C15" s="3" t="s">
        <v>61</v>
      </c>
      <c r="D15" s="3" t="s">
        <v>101</v>
      </c>
      <c r="E15" s="3" t="s">
        <v>46</v>
      </c>
      <c r="F15" s="3" t="s">
        <v>48</v>
      </c>
      <c r="G15" s="6">
        <v>52369.0</v>
      </c>
      <c r="H15" s="7">
        <v>45881.0</v>
      </c>
      <c r="I15" s="3" t="s">
        <v>59</v>
      </c>
      <c r="J15" s="3" t="s">
        <v>211</v>
      </c>
      <c r="K15" s="3" t="s">
        <v>213</v>
      </c>
      <c r="L15" s="3" t="s">
        <v>106</v>
      </c>
    </row>
    <row r="16">
      <c r="A16" s="3" t="s">
        <v>216</v>
      </c>
      <c r="B16" s="3" t="s">
        <v>76</v>
      </c>
      <c r="C16" s="3" t="s">
        <v>109</v>
      </c>
      <c r="D16" s="3" t="s">
        <v>218</v>
      </c>
      <c r="E16" s="3" t="s">
        <v>220</v>
      </c>
      <c r="F16" s="3" t="s">
        <v>48</v>
      </c>
      <c r="G16" s="6">
        <v>52370.0</v>
      </c>
      <c r="H16" s="7">
        <v>45797.0</v>
      </c>
      <c r="I16" s="3" t="s">
        <v>84</v>
      </c>
      <c r="J16" s="3" t="s">
        <v>225</v>
      </c>
      <c r="K16" s="3" t="s">
        <v>228</v>
      </c>
      <c r="L16" s="3" t="s">
        <v>172</v>
      </c>
    </row>
    <row r="17">
      <c r="A17" s="3" t="s">
        <v>231</v>
      </c>
      <c r="B17" s="3" t="s">
        <v>76</v>
      </c>
      <c r="C17" s="3" t="s">
        <v>109</v>
      </c>
      <c r="D17" s="3" t="s">
        <v>233</v>
      </c>
      <c r="E17" s="3" t="s">
        <v>46</v>
      </c>
      <c r="F17" s="3" t="s">
        <v>48</v>
      </c>
      <c r="G17" s="6">
        <v>53233.0</v>
      </c>
      <c r="H17" s="7">
        <v>44508.0</v>
      </c>
      <c r="I17" s="3" t="s">
        <v>167</v>
      </c>
      <c r="J17" s="3" t="s">
        <v>235</v>
      </c>
      <c r="K17" s="3" t="s">
        <v>236</v>
      </c>
      <c r="L17" s="3" t="s">
        <v>106</v>
      </c>
    </row>
    <row r="18">
      <c r="A18" s="3" t="s">
        <v>239</v>
      </c>
      <c r="B18" s="3" t="s">
        <v>59</v>
      </c>
      <c r="C18" s="3" t="s">
        <v>61</v>
      </c>
      <c r="D18" s="3" t="s">
        <v>241</v>
      </c>
      <c r="E18" s="3" t="s">
        <v>46</v>
      </c>
      <c r="F18" s="3" t="s">
        <v>48</v>
      </c>
      <c r="G18" s="6">
        <v>53291.0</v>
      </c>
      <c r="H18" s="7">
        <v>45334.0</v>
      </c>
      <c r="I18" s="3" t="s">
        <v>59</v>
      </c>
      <c r="J18" s="3" t="s">
        <v>245</v>
      </c>
      <c r="K18" s="3" t="s">
        <v>247</v>
      </c>
      <c r="L18" s="3" t="s">
        <v>72</v>
      </c>
    </row>
    <row r="19">
      <c r="A19" s="3" t="s">
        <v>248</v>
      </c>
      <c r="B19" s="3" t="s">
        <v>76</v>
      </c>
      <c r="C19" s="3" t="s">
        <v>109</v>
      </c>
      <c r="D19" s="3" t="s">
        <v>250</v>
      </c>
      <c r="E19" s="3" t="s">
        <v>188</v>
      </c>
      <c r="F19" s="3" t="s">
        <v>48</v>
      </c>
      <c r="G19" s="6">
        <v>53345.0</v>
      </c>
      <c r="H19" s="7">
        <v>42870.0</v>
      </c>
      <c r="I19" s="3" t="s">
        <v>84</v>
      </c>
      <c r="J19" s="3" t="s">
        <v>254</v>
      </c>
      <c r="K19" s="3" t="s">
        <v>255</v>
      </c>
      <c r="L19" s="3" t="s">
        <v>72</v>
      </c>
    </row>
    <row r="20">
      <c r="A20" s="3" t="s">
        <v>258</v>
      </c>
      <c r="B20" s="3" t="s">
        <v>59</v>
      </c>
      <c r="C20" s="3" t="s">
        <v>61</v>
      </c>
      <c r="D20" s="3" t="s">
        <v>259</v>
      </c>
      <c r="E20" s="3" t="s">
        <v>261</v>
      </c>
      <c r="F20" s="3" t="s">
        <v>48</v>
      </c>
      <c r="G20" s="6">
        <v>53605.0</v>
      </c>
      <c r="H20" s="7">
        <v>45715.0</v>
      </c>
      <c r="I20" s="3" t="s">
        <v>59</v>
      </c>
      <c r="J20" s="3" t="s">
        <v>264</v>
      </c>
      <c r="K20" s="3" t="s">
        <v>265</v>
      </c>
      <c r="L20" s="3" t="s">
        <v>172</v>
      </c>
    </row>
    <row r="21">
      <c r="A21" s="3" t="s">
        <v>267</v>
      </c>
      <c r="B21" s="3" t="s">
        <v>76</v>
      </c>
      <c r="C21" s="3" t="s">
        <v>78</v>
      </c>
      <c r="D21" s="3" t="s">
        <v>270</v>
      </c>
      <c r="E21" s="3" t="s">
        <v>46</v>
      </c>
      <c r="F21" s="3" t="s">
        <v>48</v>
      </c>
      <c r="G21" s="6">
        <v>53751.0</v>
      </c>
      <c r="H21" s="7">
        <v>44701.0</v>
      </c>
      <c r="I21" s="3" t="s">
        <v>84</v>
      </c>
      <c r="J21" s="3" t="s">
        <v>274</v>
      </c>
      <c r="K21" s="3" t="s">
        <v>275</v>
      </c>
      <c r="L21" s="3" t="s">
        <v>72</v>
      </c>
    </row>
    <row r="22">
      <c r="A22" s="3" t="s">
        <v>278</v>
      </c>
      <c r="B22" s="3" t="s">
        <v>38</v>
      </c>
      <c r="C22" s="3" t="s">
        <v>109</v>
      </c>
      <c r="D22" s="3" t="s">
        <v>282</v>
      </c>
      <c r="E22" s="3" t="s">
        <v>46</v>
      </c>
      <c r="F22" s="3" t="s">
        <v>48</v>
      </c>
      <c r="G22" s="6">
        <v>53998.0</v>
      </c>
      <c r="H22" s="7">
        <v>45344.0</v>
      </c>
      <c r="I22" s="3" t="s">
        <v>68</v>
      </c>
      <c r="J22" s="3" t="s">
        <v>284</v>
      </c>
      <c r="K22" s="3" t="s">
        <v>87</v>
      </c>
      <c r="L22" s="3" t="s">
        <v>172</v>
      </c>
    </row>
    <row r="23">
      <c r="A23" s="3" t="s">
        <v>287</v>
      </c>
      <c r="B23" s="3" t="s">
        <v>289</v>
      </c>
      <c r="C23" s="3" t="s">
        <v>109</v>
      </c>
      <c r="D23" s="3" t="s">
        <v>291</v>
      </c>
      <c r="E23" s="3" t="s">
        <v>46</v>
      </c>
      <c r="F23" s="3" t="s">
        <v>48</v>
      </c>
      <c r="G23" s="6">
        <v>54284.0</v>
      </c>
      <c r="H23" s="7">
        <v>44726.0</v>
      </c>
      <c r="I23" s="3" t="s">
        <v>84</v>
      </c>
      <c r="J23" s="3" t="s">
        <v>293</v>
      </c>
      <c r="K23" s="3" t="s">
        <v>295</v>
      </c>
      <c r="L23" s="3" t="s">
        <v>72</v>
      </c>
    </row>
    <row r="24">
      <c r="A24" s="3" t="s">
        <v>298</v>
      </c>
      <c r="B24" s="3" t="s">
        <v>59</v>
      </c>
      <c r="C24" s="3" t="s">
        <v>61</v>
      </c>
      <c r="D24" s="3" t="s">
        <v>300</v>
      </c>
      <c r="E24" s="3" t="s">
        <v>46</v>
      </c>
      <c r="F24" s="3" t="s">
        <v>48</v>
      </c>
      <c r="G24" s="6">
        <v>54349.0</v>
      </c>
      <c r="H24" s="7">
        <v>44470.0</v>
      </c>
      <c r="I24" s="3" t="s">
        <v>59</v>
      </c>
      <c r="J24" s="3" t="s">
        <v>304</v>
      </c>
      <c r="K24" s="3" t="s">
        <v>123</v>
      </c>
      <c r="L24" s="3" t="s">
        <v>72</v>
      </c>
    </row>
    <row r="25">
      <c r="A25" s="3" t="s">
        <v>306</v>
      </c>
      <c r="B25" s="3" t="s">
        <v>38</v>
      </c>
      <c r="C25" s="3" t="s">
        <v>109</v>
      </c>
      <c r="D25" s="3" t="s">
        <v>309</v>
      </c>
      <c r="E25" s="3" t="s">
        <v>46</v>
      </c>
      <c r="F25" s="3" t="s">
        <v>48</v>
      </c>
      <c r="G25" s="6">
        <v>54376.0</v>
      </c>
      <c r="H25" s="7">
        <v>45688.0</v>
      </c>
      <c r="I25" s="3" t="s">
        <v>68</v>
      </c>
      <c r="J25" s="3" t="s">
        <v>313</v>
      </c>
      <c r="K25" s="3" t="s">
        <v>316</v>
      </c>
      <c r="L25" s="3" t="s">
        <v>72</v>
      </c>
    </row>
    <row r="26">
      <c r="A26" s="3" t="s">
        <v>318</v>
      </c>
      <c r="B26" s="3" t="s">
        <v>320</v>
      </c>
      <c r="C26" s="3" t="s">
        <v>321</v>
      </c>
      <c r="D26" s="3" t="s">
        <v>323</v>
      </c>
      <c r="E26" s="3" t="s">
        <v>325</v>
      </c>
      <c r="F26" s="3" t="s">
        <v>48</v>
      </c>
      <c r="G26" s="6">
        <v>54418.0</v>
      </c>
      <c r="H26" s="7">
        <v>45679.0</v>
      </c>
      <c r="I26" s="3" t="s">
        <v>167</v>
      </c>
      <c r="J26" s="3" t="s">
        <v>327</v>
      </c>
      <c r="K26" s="3" t="s">
        <v>328</v>
      </c>
      <c r="L26" s="3" t="s">
        <v>72</v>
      </c>
    </row>
    <row r="27">
      <c r="A27" s="3" t="s">
        <v>329</v>
      </c>
      <c r="B27" s="3" t="s">
        <v>38</v>
      </c>
      <c r="C27" s="3" t="s">
        <v>78</v>
      </c>
      <c r="D27" s="3" t="s">
        <v>331</v>
      </c>
      <c r="E27" s="3" t="s">
        <v>332</v>
      </c>
      <c r="F27" s="3" t="s">
        <v>48</v>
      </c>
      <c r="G27" s="6">
        <v>54662.0</v>
      </c>
      <c r="H27" s="7">
        <v>44951.0</v>
      </c>
      <c r="I27" s="3" t="s">
        <v>68</v>
      </c>
      <c r="J27" s="3" t="s">
        <v>333</v>
      </c>
      <c r="K27" s="3" t="s">
        <v>334</v>
      </c>
      <c r="L27" s="3" t="s">
        <v>72</v>
      </c>
    </row>
    <row r="28">
      <c r="A28" s="3" t="s">
        <v>335</v>
      </c>
      <c r="B28" s="3" t="s">
        <v>38</v>
      </c>
      <c r="C28" s="3" t="s">
        <v>41</v>
      </c>
      <c r="D28" s="3" t="s">
        <v>336</v>
      </c>
      <c r="E28" s="3" t="s">
        <v>337</v>
      </c>
      <c r="F28" s="3" t="s">
        <v>48</v>
      </c>
      <c r="G28" s="6">
        <v>54716.0</v>
      </c>
      <c r="H28" s="7">
        <v>45691.0</v>
      </c>
      <c r="I28" s="3" t="s">
        <v>68</v>
      </c>
      <c r="J28" s="3" t="s">
        <v>338</v>
      </c>
      <c r="K28" s="3" t="s">
        <v>339</v>
      </c>
      <c r="L28" s="3" t="s">
        <v>106</v>
      </c>
    </row>
    <row r="29">
      <c r="A29" s="3" t="s">
        <v>341</v>
      </c>
      <c r="B29" s="3" t="s">
        <v>38</v>
      </c>
      <c r="C29" s="3" t="s">
        <v>78</v>
      </c>
      <c r="D29" s="3" t="s">
        <v>344</v>
      </c>
      <c r="E29" s="3" t="s">
        <v>46</v>
      </c>
      <c r="F29" s="3" t="s">
        <v>48</v>
      </c>
      <c r="G29" s="6">
        <v>54879.0</v>
      </c>
      <c r="H29" s="7">
        <v>44972.0</v>
      </c>
      <c r="I29" s="3" t="s">
        <v>68</v>
      </c>
      <c r="J29" s="3" t="s">
        <v>168</v>
      </c>
      <c r="K29" s="3" t="s">
        <v>168</v>
      </c>
      <c r="L29" s="3" t="s">
        <v>72</v>
      </c>
    </row>
    <row r="30">
      <c r="A30" s="3" t="s">
        <v>345</v>
      </c>
      <c r="B30" s="3" t="s">
        <v>59</v>
      </c>
      <c r="C30" s="3" t="s">
        <v>61</v>
      </c>
      <c r="D30" s="3" t="s">
        <v>347</v>
      </c>
      <c r="E30" s="3" t="s">
        <v>46</v>
      </c>
      <c r="F30" s="3" t="s">
        <v>48</v>
      </c>
      <c r="G30" s="6">
        <v>54967.0</v>
      </c>
      <c r="H30" s="7">
        <v>44473.0</v>
      </c>
      <c r="I30" s="3" t="s">
        <v>59</v>
      </c>
      <c r="J30" s="3" t="s">
        <v>245</v>
      </c>
      <c r="K30" s="3" t="s">
        <v>348</v>
      </c>
      <c r="L30" s="3" t="s">
        <v>72</v>
      </c>
    </row>
    <row r="31">
      <c r="A31" s="3" t="s">
        <v>349</v>
      </c>
      <c r="B31" s="3" t="s">
        <v>59</v>
      </c>
      <c r="C31" s="3" t="s">
        <v>109</v>
      </c>
      <c r="D31" s="3" t="s">
        <v>350</v>
      </c>
      <c r="E31" s="3" t="s">
        <v>351</v>
      </c>
      <c r="F31" s="3" t="s">
        <v>48</v>
      </c>
      <c r="G31" s="6">
        <v>54993.0</v>
      </c>
      <c r="H31" s="7">
        <v>44343.0</v>
      </c>
      <c r="I31" s="3" t="s">
        <v>59</v>
      </c>
      <c r="J31" s="3" t="s">
        <v>254</v>
      </c>
      <c r="K31" s="3" t="s">
        <v>132</v>
      </c>
      <c r="L31" s="3" t="s">
        <v>72</v>
      </c>
    </row>
    <row r="32">
      <c r="A32" s="3" t="s">
        <v>352</v>
      </c>
      <c r="B32" s="3" t="s">
        <v>76</v>
      </c>
      <c r="C32" s="3" t="s">
        <v>78</v>
      </c>
      <c r="D32" s="3" t="s">
        <v>354</v>
      </c>
      <c r="E32" s="3" t="s">
        <v>188</v>
      </c>
      <c r="F32" s="3" t="s">
        <v>48</v>
      </c>
      <c r="G32" s="6">
        <v>55051.0</v>
      </c>
      <c r="H32" s="7">
        <v>45084.0</v>
      </c>
      <c r="I32" s="3" t="s">
        <v>84</v>
      </c>
      <c r="J32" s="3" t="s">
        <v>357</v>
      </c>
      <c r="K32" s="3" t="s">
        <v>132</v>
      </c>
      <c r="L32" s="3" t="s">
        <v>106</v>
      </c>
    </row>
    <row r="33">
      <c r="A33" s="3" t="s">
        <v>358</v>
      </c>
      <c r="B33" s="3" t="s">
        <v>76</v>
      </c>
      <c r="C33" s="3" t="s">
        <v>78</v>
      </c>
      <c r="D33" s="3" t="s">
        <v>359</v>
      </c>
      <c r="E33" s="3" t="s">
        <v>46</v>
      </c>
      <c r="F33" s="3" t="s">
        <v>48</v>
      </c>
      <c r="G33" s="6">
        <v>55142.0</v>
      </c>
      <c r="H33" s="7">
        <v>44936.0</v>
      </c>
      <c r="I33" s="3" t="s">
        <v>84</v>
      </c>
      <c r="J33" s="3" t="s">
        <v>360</v>
      </c>
      <c r="K33" s="3" t="s">
        <v>123</v>
      </c>
      <c r="L33" s="3" t="s">
        <v>72</v>
      </c>
    </row>
    <row r="34">
      <c r="A34" s="3" t="s">
        <v>362</v>
      </c>
      <c r="B34" s="3" t="s">
        <v>320</v>
      </c>
      <c r="C34" s="3" t="s">
        <v>321</v>
      </c>
      <c r="D34" s="3" t="s">
        <v>363</v>
      </c>
      <c r="E34" s="3" t="s">
        <v>46</v>
      </c>
      <c r="F34" s="3" t="s">
        <v>48</v>
      </c>
      <c r="G34" s="6">
        <v>55287.0</v>
      </c>
      <c r="H34" s="7">
        <v>45547.0</v>
      </c>
      <c r="I34" s="3" t="s">
        <v>364</v>
      </c>
      <c r="J34" s="3" t="s">
        <v>365</v>
      </c>
      <c r="K34" s="3" t="s">
        <v>366</v>
      </c>
      <c r="L34" s="3" t="s">
        <v>172</v>
      </c>
    </row>
    <row r="35">
      <c r="A35" s="3" t="s">
        <v>367</v>
      </c>
      <c r="B35" s="3" t="s">
        <v>76</v>
      </c>
      <c r="C35" s="3" t="s">
        <v>61</v>
      </c>
      <c r="D35" s="3" t="s">
        <v>368</v>
      </c>
      <c r="E35" s="3" t="s">
        <v>337</v>
      </c>
      <c r="F35" s="3" t="s">
        <v>48</v>
      </c>
      <c r="G35" s="6">
        <v>55572.0</v>
      </c>
      <c r="H35" s="7">
        <v>45833.0</v>
      </c>
      <c r="I35" s="3" t="s">
        <v>84</v>
      </c>
      <c r="J35" s="3" t="s">
        <v>371</v>
      </c>
      <c r="K35" s="3" t="s">
        <v>372</v>
      </c>
      <c r="L35" s="3" t="s">
        <v>106</v>
      </c>
    </row>
    <row r="36">
      <c r="A36" s="3" t="s">
        <v>374</v>
      </c>
      <c r="B36" s="3" t="s">
        <v>59</v>
      </c>
      <c r="C36" s="3" t="s">
        <v>61</v>
      </c>
      <c r="D36" s="3" t="s">
        <v>375</v>
      </c>
      <c r="E36" s="3" t="s">
        <v>376</v>
      </c>
      <c r="F36" s="3" t="s">
        <v>48</v>
      </c>
      <c r="G36" s="6">
        <v>55582.0</v>
      </c>
      <c r="H36" s="14">
        <v>45974.0</v>
      </c>
      <c r="I36" s="3" t="s">
        <v>59</v>
      </c>
      <c r="J36" s="3" t="s">
        <v>377</v>
      </c>
      <c r="K36" s="3" t="s">
        <v>378</v>
      </c>
      <c r="L36" s="3" t="s">
        <v>172</v>
      </c>
    </row>
    <row r="37">
      <c r="A37" s="3" t="s">
        <v>379</v>
      </c>
      <c r="B37" s="3" t="s">
        <v>59</v>
      </c>
      <c r="C37" s="3" t="s">
        <v>61</v>
      </c>
      <c r="D37" s="3" t="s">
        <v>380</v>
      </c>
      <c r="E37" s="3" t="s">
        <v>381</v>
      </c>
      <c r="F37" s="3" t="s">
        <v>48</v>
      </c>
      <c r="G37" s="6">
        <v>55693.0</v>
      </c>
      <c r="H37" s="7">
        <v>45903.0</v>
      </c>
      <c r="I37" s="3" t="s">
        <v>59</v>
      </c>
      <c r="J37" s="3" t="s">
        <v>382</v>
      </c>
      <c r="K37" s="3" t="s">
        <v>383</v>
      </c>
      <c r="L37" s="3" t="s">
        <v>172</v>
      </c>
    </row>
    <row r="38">
      <c r="A38" s="3" t="s">
        <v>384</v>
      </c>
      <c r="B38" s="3" t="s">
        <v>76</v>
      </c>
      <c r="C38" s="3" t="s">
        <v>78</v>
      </c>
      <c r="D38" s="3" t="s">
        <v>388</v>
      </c>
      <c r="E38" s="3" t="s">
        <v>46</v>
      </c>
      <c r="F38" s="3" t="s">
        <v>48</v>
      </c>
      <c r="G38" s="6">
        <v>55750.0</v>
      </c>
      <c r="H38" s="7">
        <v>44980.0</v>
      </c>
      <c r="I38" s="3" t="s">
        <v>84</v>
      </c>
      <c r="J38" s="3" t="s">
        <v>389</v>
      </c>
      <c r="K38" s="3" t="s">
        <v>255</v>
      </c>
      <c r="L38" s="3" t="s">
        <v>72</v>
      </c>
    </row>
    <row r="39">
      <c r="A39" s="3" t="s">
        <v>390</v>
      </c>
      <c r="B39" s="3" t="s">
        <v>391</v>
      </c>
      <c r="C39" s="3" t="s">
        <v>197</v>
      </c>
      <c r="D39" s="3" t="s">
        <v>392</v>
      </c>
      <c r="E39" s="3" t="s">
        <v>46</v>
      </c>
      <c r="F39" s="3" t="s">
        <v>48</v>
      </c>
      <c r="G39" s="6">
        <v>55876.0</v>
      </c>
      <c r="H39" s="7">
        <v>44665.0</v>
      </c>
      <c r="I39" s="3" t="s">
        <v>393</v>
      </c>
      <c r="J39" s="3" t="s">
        <v>395</v>
      </c>
      <c r="K39" s="3" t="s">
        <v>105</v>
      </c>
      <c r="L39" s="3" t="s">
        <v>72</v>
      </c>
    </row>
    <row r="40">
      <c r="A40" s="10">
        <v>3778.0</v>
      </c>
      <c r="B40" s="3" t="s">
        <v>38</v>
      </c>
      <c r="C40" s="3" t="s">
        <v>99</v>
      </c>
      <c r="D40" s="3" t="s">
        <v>398</v>
      </c>
      <c r="E40" s="3" t="s">
        <v>399</v>
      </c>
      <c r="F40" s="3" t="s">
        <v>48</v>
      </c>
      <c r="G40" s="6">
        <v>56426.0</v>
      </c>
      <c r="H40" s="7">
        <v>44252.0</v>
      </c>
      <c r="I40" s="3" t="s">
        <v>68</v>
      </c>
      <c r="J40" s="3" t="s">
        <v>401</v>
      </c>
      <c r="K40" s="3" t="s">
        <v>401</v>
      </c>
      <c r="L40" s="3" t="s">
        <v>72</v>
      </c>
    </row>
    <row r="41">
      <c r="A41" s="3" t="s">
        <v>402</v>
      </c>
      <c r="B41" s="3" t="s">
        <v>38</v>
      </c>
      <c r="C41" s="3" t="s">
        <v>109</v>
      </c>
      <c r="D41" s="3" t="s">
        <v>403</v>
      </c>
      <c r="E41" s="3" t="s">
        <v>404</v>
      </c>
      <c r="F41" s="3" t="s">
        <v>48</v>
      </c>
      <c r="G41" s="6">
        <v>56468.0</v>
      </c>
      <c r="H41" s="14">
        <v>45625.0</v>
      </c>
      <c r="I41" s="3" t="s">
        <v>68</v>
      </c>
      <c r="J41" s="3" t="s">
        <v>407</v>
      </c>
      <c r="K41" s="3" t="s">
        <v>409</v>
      </c>
      <c r="L41" s="3" t="s">
        <v>172</v>
      </c>
    </row>
    <row r="42">
      <c r="A42" s="3" t="s">
        <v>411</v>
      </c>
      <c r="B42" s="3" t="s">
        <v>320</v>
      </c>
      <c r="C42" s="3" t="s">
        <v>321</v>
      </c>
      <c r="D42" s="3" t="s">
        <v>344</v>
      </c>
      <c r="E42" s="3" t="s">
        <v>188</v>
      </c>
      <c r="F42" s="3" t="s">
        <v>48</v>
      </c>
      <c r="G42" s="6">
        <v>56547.0</v>
      </c>
      <c r="H42" s="7">
        <v>45839.0</v>
      </c>
      <c r="I42" s="3" t="s">
        <v>364</v>
      </c>
      <c r="J42" s="3" t="s">
        <v>412</v>
      </c>
      <c r="K42" s="3" t="s">
        <v>413</v>
      </c>
      <c r="L42" s="3" t="s">
        <v>106</v>
      </c>
    </row>
    <row r="43">
      <c r="A43" s="3" t="s">
        <v>414</v>
      </c>
      <c r="B43" s="3" t="s">
        <v>38</v>
      </c>
      <c r="C43" s="3" t="s">
        <v>109</v>
      </c>
      <c r="D43" s="3" t="s">
        <v>416</v>
      </c>
      <c r="E43" s="3" t="s">
        <v>418</v>
      </c>
      <c r="F43" s="3" t="s">
        <v>48</v>
      </c>
      <c r="G43" s="6">
        <v>57140.0</v>
      </c>
      <c r="H43" s="7">
        <v>44417.0</v>
      </c>
      <c r="I43" s="3" t="s">
        <v>68</v>
      </c>
      <c r="J43" s="3" t="s">
        <v>419</v>
      </c>
      <c r="K43" s="3" t="s">
        <v>420</v>
      </c>
      <c r="L43" s="3" t="s">
        <v>72</v>
      </c>
    </row>
    <row r="44">
      <c r="A44" s="3" t="s">
        <v>421</v>
      </c>
      <c r="B44" s="3" t="s">
        <v>76</v>
      </c>
      <c r="C44" s="3" t="s">
        <v>109</v>
      </c>
      <c r="D44" s="3" t="s">
        <v>422</v>
      </c>
      <c r="E44" s="3" t="s">
        <v>46</v>
      </c>
      <c r="F44" s="3" t="s">
        <v>48</v>
      </c>
      <c r="G44" s="6">
        <v>57486.0</v>
      </c>
      <c r="H44" s="7">
        <v>44635.0</v>
      </c>
      <c r="I44" s="3" t="s">
        <v>84</v>
      </c>
      <c r="J44" s="3" t="s">
        <v>424</v>
      </c>
      <c r="K44" s="3" t="s">
        <v>426</v>
      </c>
      <c r="L44" s="3" t="s">
        <v>72</v>
      </c>
    </row>
    <row r="45">
      <c r="A45" s="3" t="s">
        <v>427</v>
      </c>
      <c r="B45" s="3" t="s">
        <v>59</v>
      </c>
      <c r="C45" s="3" t="s">
        <v>61</v>
      </c>
      <c r="D45" s="3" t="s">
        <v>111</v>
      </c>
      <c r="E45" s="3" t="s">
        <v>46</v>
      </c>
      <c r="F45" s="3" t="s">
        <v>48</v>
      </c>
      <c r="G45" s="6">
        <v>57496.0</v>
      </c>
      <c r="H45" s="7">
        <v>45104.0</v>
      </c>
      <c r="I45" s="3" t="s">
        <v>59</v>
      </c>
      <c r="J45" s="3" t="s">
        <v>428</v>
      </c>
      <c r="K45" s="3" t="s">
        <v>428</v>
      </c>
      <c r="L45" s="3" t="s">
        <v>72</v>
      </c>
    </row>
    <row r="46">
      <c r="A46" s="3" t="s">
        <v>429</v>
      </c>
      <c r="B46" s="3" t="s">
        <v>320</v>
      </c>
      <c r="C46" s="3" t="s">
        <v>321</v>
      </c>
      <c r="D46" s="3" t="s">
        <v>431</v>
      </c>
      <c r="E46" s="3" t="s">
        <v>46</v>
      </c>
      <c r="F46" s="3" t="s">
        <v>48</v>
      </c>
      <c r="G46" s="6">
        <v>57623.0</v>
      </c>
      <c r="H46" s="7">
        <v>45829.0</v>
      </c>
      <c r="I46" s="3" t="s">
        <v>364</v>
      </c>
      <c r="J46" s="3" t="s">
        <v>433</v>
      </c>
      <c r="K46" s="3" t="s">
        <v>433</v>
      </c>
      <c r="L46" s="3" t="s">
        <v>72</v>
      </c>
    </row>
    <row r="47">
      <c r="A47" s="3" t="s">
        <v>434</v>
      </c>
      <c r="B47" s="3" t="s">
        <v>38</v>
      </c>
      <c r="C47" s="3" t="s">
        <v>61</v>
      </c>
      <c r="D47" s="3" t="s">
        <v>435</v>
      </c>
      <c r="E47" s="3" t="s">
        <v>46</v>
      </c>
      <c r="F47" s="3" t="s">
        <v>48</v>
      </c>
      <c r="G47" s="6">
        <v>57686.0</v>
      </c>
      <c r="H47" s="7">
        <v>44636.0</v>
      </c>
      <c r="I47" s="3" t="s">
        <v>68</v>
      </c>
      <c r="J47" s="3" t="s">
        <v>437</v>
      </c>
      <c r="K47" s="3" t="s">
        <v>255</v>
      </c>
      <c r="L47" s="3" t="s">
        <v>72</v>
      </c>
    </row>
    <row r="48">
      <c r="A48" s="3" t="s">
        <v>438</v>
      </c>
      <c r="B48" s="3" t="s">
        <v>76</v>
      </c>
      <c r="C48" s="3" t="s">
        <v>109</v>
      </c>
      <c r="D48" s="3" t="s">
        <v>439</v>
      </c>
      <c r="E48" s="3" t="s">
        <v>46</v>
      </c>
      <c r="F48" s="3" t="s">
        <v>48</v>
      </c>
      <c r="G48" s="6">
        <v>57780.0</v>
      </c>
      <c r="H48" s="7">
        <v>44469.0</v>
      </c>
      <c r="I48" s="3" t="s">
        <v>84</v>
      </c>
      <c r="J48" s="3" t="s">
        <v>441</v>
      </c>
      <c r="K48" s="3" t="s">
        <v>441</v>
      </c>
      <c r="L48" s="3" t="s">
        <v>72</v>
      </c>
    </row>
    <row r="49">
      <c r="A49" s="3" t="s">
        <v>444</v>
      </c>
      <c r="B49" s="3" t="s">
        <v>59</v>
      </c>
      <c r="C49" s="3" t="s">
        <v>78</v>
      </c>
      <c r="D49" s="3" t="s">
        <v>445</v>
      </c>
      <c r="E49" s="3" t="s">
        <v>46</v>
      </c>
      <c r="F49" s="3" t="s">
        <v>48</v>
      </c>
      <c r="G49" s="6">
        <v>58000.0</v>
      </c>
      <c r="H49" s="14">
        <v>45211.0</v>
      </c>
      <c r="I49" s="3" t="s">
        <v>59</v>
      </c>
      <c r="J49" s="3" t="s">
        <v>446</v>
      </c>
      <c r="K49" s="3" t="s">
        <v>447</v>
      </c>
      <c r="L49" s="3" t="s">
        <v>172</v>
      </c>
    </row>
    <row r="50">
      <c r="A50" s="3" t="s">
        <v>448</v>
      </c>
      <c r="B50" s="3" t="s">
        <v>59</v>
      </c>
      <c r="C50" s="3" t="s">
        <v>61</v>
      </c>
      <c r="D50" s="3" t="s">
        <v>451</v>
      </c>
      <c r="E50" s="3" t="s">
        <v>337</v>
      </c>
      <c r="F50" s="3" t="s">
        <v>48</v>
      </c>
      <c r="G50" s="6">
        <v>58069.0</v>
      </c>
      <c r="H50" s="7">
        <v>43353.0</v>
      </c>
      <c r="I50" s="3" t="s">
        <v>59</v>
      </c>
      <c r="J50" s="3" t="s">
        <v>452</v>
      </c>
      <c r="K50" s="3" t="s">
        <v>452</v>
      </c>
      <c r="L50" s="3" t="s">
        <v>72</v>
      </c>
    </row>
    <row r="51">
      <c r="A51" s="3" t="s">
        <v>453</v>
      </c>
      <c r="B51" s="3" t="s">
        <v>38</v>
      </c>
      <c r="C51" s="3" t="s">
        <v>109</v>
      </c>
      <c r="D51" s="3" t="s">
        <v>454</v>
      </c>
      <c r="E51" s="3" t="s">
        <v>455</v>
      </c>
      <c r="F51" s="3" t="s">
        <v>48</v>
      </c>
      <c r="G51" s="6">
        <v>58366.0</v>
      </c>
      <c r="H51" s="14">
        <v>45589.0</v>
      </c>
      <c r="I51" s="3" t="s">
        <v>68</v>
      </c>
      <c r="J51" s="3" t="s">
        <v>458</v>
      </c>
      <c r="K51" s="3" t="s">
        <v>459</v>
      </c>
      <c r="L51" s="3" t="s">
        <v>72</v>
      </c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6</v>
      </c>
      <c r="C1" s="2" t="s">
        <v>2</v>
      </c>
      <c r="D1" s="2" t="s">
        <v>9</v>
      </c>
      <c r="E1" s="2" t="s">
        <v>12</v>
      </c>
      <c r="F1" s="2" t="s">
        <v>17</v>
      </c>
      <c r="G1" s="2" t="s">
        <v>19</v>
      </c>
      <c r="H1" s="2" t="s">
        <v>21</v>
      </c>
      <c r="I1" s="2" t="s">
        <v>24</v>
      </c>
      <c r="J1" s="2" t="s">
        <v>27</v>
      </c>
      <c r="K1" s="2" t="s">
        <v>28</v>
      </c>
      <c r="L1" s="2" t="s">
        <v>34</v>
      </c>
      <c r="M1" s="2" t="s">
        <v>37</v>
      </c>
      <c r="N1" s="2" t="s">
        <v>40</v>
      </c>
      <c r="O1" s="2" t="s">
        <v>42</v>
      </c>
      <c r="P1" s="2" t="s">
        <v>47</v>
      </c>
      <c r="Q1" s="2" t="s">
        <v>49</v>
      </c>
      <c r="R1" s="2" t="s">
        <v>50</v>
      </c>
      <c r="S1" s="2" t="s">
        <v>53</v>
      </c>
      <c r="T1" s="2" t="s">
        <v>54</v>
      </c>
      <c r="U1" s="2" t="s">
        <v>55</v>
      </c>
      <c r="V1" s="1" t="s">
        <v>57</v>
      </c>
    </row>
    <row r="2">
      <c r="A2" s="2" t="s">
        <v>62</v>
      </c>
      <c r="B2" s="2" t="s">
        <v>65</v>
      </c>
      <c r="C2" s="2" t="s">
        <v>65</v>
      </c>
      <c r="D2" s="2" t="s">
        <v>65</v>
      </c>
      <c r="E2" s="9"/>
      <c r="F2" s="2" t="s">
        <v>65</v>
      </c>
      <c r="G2" s="9"/>
      <c r="H2" s="9"/>
      <c r="I2" s="9"/>
      <c r="J2" s="9"/>
      <c r="K2" s="9"/>
      <c r="L2" s="2" t="s">
        <v>65</v>
      </c>
      <c r="M2" s="9"/>
      <c r="N2" s="2" t="s">
        <v>65</v>
      </c>
      <c r="O2" s="2" t="s">
        <v>65</v>
      </c>
      <c r="P2" s="2" t="s">
        <v>65</v>
      </c>
      <c r="Q2" s="9" t="str">
        <f>L1/F1</f>
        <v>#VALUE!</v>
      </c>
      <c r="R2" s="9" t="str">
        <f>I1/H1</f>
        <v>#VALUE!</v>
      </c>
      <c r="S2" s="9" t="str">
        <f>N2-E2</f>
        <v>#VALUE!</v>
      </c>
      <c r="T2" s="9"/>
      <c r="U2" s="9"/>
    </row>
    <row r="3">
      <c r="A3" s="1" t="s">
        <v>140</v>
      </c>
      <c r="E3" s="1" t="s">
        <v>65</v>
      </c>
      <c r="H3" s="1" t="s">
        <v>144</v>
      </c>
      <c r="I3" s="1" t="s">
        <v>144</v>
      </c>
      <c r="J3" s="1" t="s">
        <v>144</v>
      </c>
    </row>
    <row r="6">
      <c r="A6" s="13"/>
      <c r="B6" s="15">
        <v>659.0</v>
      </c>
      <c r="C6" s="15" t="s">
        <v>227</v>
      </c>
      <c r="D6" s="16" t="s">
        <v>269</v>
      </c>
    </row>
  </sheetData>
  <hyperlinks>
    <hyperlink r:id="rId1" ref="B6"/>
    <hyperlink r:id="rId2" ref="C6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8</v>
      </c>
      <c r="C1" s="3" t="s">
        <v>10</v>
      </c>
      <c r="D1" s="3" t="s">
        <v>14</v>
      </c>
      <c r="E1" s="3" t="s">
        <v>16</v>
      </c>
      <c r="F1" s="5" t="s">
        <v>2</v>
      </c>
      <c r="G1" s="3" t="s">
        <v>20</v>
      </c>
      <c r="H1" s="3" t="s">
        <v>22</v>
      </c>
      <c r="I1" s="3" t="s">
        <v>26</v>
      </c>
      <c r="J1" s="3" t="s">
        <v>29</v>
      </c>
      <c r="K1" s="3" t="s">
        <v>31</v>
      </c>
      <c r="L1" s="3" t="s">
        <v>32</v>
      </c>
      <c r="M1" s="1" t="s">
        <v>45</v>
      </c>
      <c r="O1" s="4" t="s">
        <v>10</v>
      </c>
      <c r="P1" s="1" t="s">
        <v>51</v>
      </c>
      <c r="Q1" s="1" t="s">
        <v>52</v>
      </c>
    </row>
    <row r="2">
      <c r="A2" s="3" t="s">
        <v>58</v>
      </c>
      <c r="B2" s="3" t="s">
        <v>59</v>
      </c>
      <c r="C2" s="3" t="s">
        <v>61</v>
      </c>
      <c r="D2" s="3" t="s">
        <v>63</v>
      </c>
      <c r="E2" s="3" t="s">
        <v>66</v>
      </c>
      <c r="F2" s="8" t="s">
        <v>52</v>
      </c>
      <c r="G2" s="10">
        <v>164.97</v>
      </c>
      <c r="H2" s="7">
        <v>44896.0</v>
      </c>
      <c r="I2" s="3" t="s">
        <v>59</v>
      </c>
      <c r="J2" s="11">
        <v>150.0</v>
      </c>
      <c r="K2" s="11">
        <v>50.0</v>
      </c>
      <c r="L2" s="3" t="s">
        <v>72</v>
      </c>
      <c r="M2" s="4" t="str">
        <f>VLOOKUP(C2,Apoio!A:B,2,0)</f>
        <v>11-50</v>
      </c>
      <c r="O2" s="12" t="s">
        <v>61</v>
      </c>
      <c r="P2" s="12">
        <f t="shared" ref="P2:Q2" si="1">COUNTIFS($F:$F,P$1,$M:$M,$O2,A:A,"&lt;&gt;"&amp;"Seed")</f>
        <v>59</v>
      </c>
      <c r="Q2" s="12">
        <f t="shared" si="1"/>
        <v>47</v>
      </c>
      <c r="T2" s="1" t="s">
        <v>161</v>
      </c>
    </row>
    <row r="3">
      <c r="A3" s="3" t="s">
        <v>165</v>
      </c>
      <c r="B3" s="3" t="s">
        <v>59</v>
      </c>
      <c r="C3" s="3" t="s">
        <v>61</v>
      </c>
      <c r="D3" s="3" t="s">
        <v>170</v>
      </c>
      <c r="E3" s="3" t="s">
        <v>171</v>
      </c>
      <c r="F3" s="8" t="s">
        <v>52</v>
      </c>
      <c r="G3" s="10">
        <v>610.511</v>
      </c>
      <c r="H3" s="7">
        <v>41877.0</v>
      </c>
      <c r="I3" s="3" t="s">
        <v>59</v>
      </c>
      <c r="J3" s="11">
        <v>50.0</v>
      </c>
      <c r="K3" s="11">
        <v>50.0</v>
      </c>
      <c r="L3" s="3" t="s">
        <v>72</v>
      </c>
      <c r="M3" s="4" t="str">
        <f>VLOOKUP(C3,Apoio!A:B,2,0)</f>
        <v>11-50</v>
      </c>
      <c r="O3" s="12" t="s">
        <v>78</v>
      </c>
      <c r="P3" s="12">
        <f t="shared" ref="P3:Q3" si="2">COUNTIFS($F:$F,P$1,$M:$M,$O3,A:A,"&lt;&gt;"&amp;"Seed")</f>
        <v>31</v>
      </c>
      <c r="Q3" s="12">
        <f t="shared" si="2"/>
        <v>13</v>
      </c>
      <c r="T3" s="1" t="s">
        <v>214</v>
      </c>
    </row>
    <row r="4">
      <c r="A4" s="3" t="s">
        <v>221</v>
      </c>
      <c r="B4" s="3" t="s">
        <v>38</v>
      </c>
      <c r="C4" s="3" t="s">
        <v>61</v>
      </c>
      <c r="D4" s="3" t="s">
        <v>223</v>
      </c>
      <c r="E4" s="3" t="s">
        <v>66</v>
      </c>
      <c r="F4" s="8" t="s">
        <v>52</v>
      </c>
      <c r="G4" s="10">
        <v>9.616</v>
      </c>
      <c r="H4" s="7">
        <v>45832.0</v>
      </c>
      <c r="I4" s="3" t="s">
        <v>68</v>
      </c>
      <c r="J4" s="3" t="s">
        <v>230</v>
      </c>
      <c r="K4" s="11">
        <v>100.0</v>
      </c>
      <c r="L4" s="3" t="s">
        <v>72</v>
      </c>
      <c r="M4" s="4" t="str">
        <f>VLOOKUP(C4,Apoio!A:B,2,0)</f>
        <v>11-50</v>
      </c>
      <c r="O4" s="12" t="s">
        <v>109</v>
      </c>
      <c r="P4" s="12">
        <f t="shared" ref="P4:Q4" si="3">COUNTIFS($F:$F,P$1,$M:$M,$O4,A:A,"&lt;&gt;"&amp;"Seed")</f>
        <v>39</v>
      </c>
      <c r="Q4" s="12">
        <f t="shared" si="3"/>
        <v>4</v>
      </c>
    </row>
    <row r="5">
      <c r="A5" s="3" t="s">
        <v>277</v>
      </c>
      <c r="B5" s="3" t="s">
        <v>59</v>
      </c>
      <c r="C5" s="3" t="s">
        <v>61</v>
      </c>
      <c r="D5" s="3" t="s">
        <v>280</v>
      </c>
      <c r="E5" s="3" t="s">
        <v>281</v>
      </c>
      <c r="F5" s="8" t="s">
        <v>52</v>
      </c>
      <c r="G5" s="10">
        <v>138.709</v>
      </c>
      <c r="H5" s="7">
        <v>44222.0</v>
      </c>
      <c r="I5" s="3" t="s">
        <v>59</v>
      </c>
      <c r="J5" s="11">
        <v>100.0</v>
      </c>
      <c r="K5" s="11">
        <v>100.0</v>
      </c>
      <c r="L5" s="3" t="s">
        <v>72</v>
      </c>
      <c r="M5" s="4" t="str">
        <f>VLOOKUP(C5,Apoio!A:B,2,0)</f>
        <v>11-50</v>
      </c>
      <c r="O5" s="12" t="s">
        <v>41</v>
      </c>
      <c r="P5" s="12">
        <f t="shared" ref="P5:Q5" si="4">COUNTIFS($F:$F,P$1,$M:$M,$O5,A:A,"&lt;&gt;"&amp;"Seed")</f>
        <v>16</v>
      </c>
      <c r="Q5" s="12">
        <f t="shared" si="4"/>
        <v>3</v>
      </c>
    </row>
    <row r="6">
      <c r="A6" s="3" t="s">
        <v>311</v>
      </c>
      <c r="B6" s="3" t="s">
        <v>38</v>
      </c>
      <c r="C6" s="3" t="s">
        <v>78</v>
      </c>
      <c r="D6" s="3" t="s">
        <v>314</v>
      </c>
      <c r="E6" s="3" t="s">
        <v>171</v>
      </c>
      <c r="F6" s="8" t="s">
        <v>52</v>
      </c>
      <c r="G6" s="10">
        <v>167.71</v>
      </c>
      <c r="H6" s="7">
        <v>45027.0</v>
      </c>
      <c r="I6" s="3" t="s">
        <v>68</v>
      </c>
      <c r="J6" s="11">
        <v>100.0</v>
      </c>
      <c r="K6" s="11">
        <v>100.0</v>
      </c>
      <c r="L6" s="3" t="s">
        <v>172</v>
      </c>
      <c r="M6" s="4" t="str">
        <f>VLOOKUP(C6,Apoio!A:B,2,0)</f>
        <v>51-100</v>
      </c>
      <c r="O6" s="4" t="s">
        <v>330</v>
      </c>
      <c r="P6" s="4">
        <f t="shared" ref="P6:Q6" si="5">COUNTIFS($F:$F,P$1,$M:$M,$O6,A:A,"&lt;&gt;"&amp;"Seed")</f>
        <v>15</v>
      </c>
      <c r="Q6" s="4">
        <f t="shared" si="5"/>
        <v>3</v>
      </c>
    </row>
    <row r="7">
      <c r="A7" s="3" t="s">
        <v>340</v>
      </c>
      <c r="B7" s="3" t="s">
        <v>59</v>
      </c>
      <c r="C7" s="3" t="s">
        <v>61</v>
      </c>
      <c r="D7" s="3" t="s">
        <v>342</v>
      </c>
      <c r="E7" s="3" t="s">
        <v>343</v>
      </c>
      <c r="F7" s="8" t="s">
        <v>52</v>
      </c>
      <c r="G7" s="10">
        <v>172.334</v>
      </c>
      <c r="H7" s="7">
        <v>43132.0</v>
      </c>
      <c r="I7" s="3" t="s">
        <v>59</v>
      </c>
      <c r="J7" s="11">
        <v>100.0</v>
      </c>
      <c r="K7" s="11">
        <v>100.0</v>
      </c>
      <c r="L7" s="3" t="s">
        <v>72</v>
      </c>
      <c r="M7" s="4" t="str">
        <f>VLOOKUP(C7,Apoio!A:B,2,0)</f>
        <v>11-50</v>
      </c>
      <c r="O7" s="4" t="s">
        <v>346</v>
      </c>
      <c r="P7" s="4">
        <f t="shared" ref="P7:Q7" si="6">COUNTIFS($F:$F,P$1,$M:$M,$O7)</f>
        <v>10</v>
      </c>
      <c r="Q7" s="4">
        <f t="shared" si="6"/>
        <v>1</v>
      </c>
    </row>
    <row r="8">
      <c r="A8" s="3" t="s">
        <v>353</v>
      </c>
      <c r="B8" s="3" t="s">
        <v>59</v>
      </c>
      <c r="C8" s="3" t="s">
        <v>61</v>
      </c>
      <c r="D8" s="3" t="s">
        <v>355</v>
      </c>
      <c r="E8" s="3" t="s">
        <v>356</v>
      </c>
      <c r="F8" s="8" t="s">
        <v>52</v>
      </c>
      <c r="G8" s="10">
        <v>191.396</v>
      </c>
      <c r="H8" s="14">
        <v>44187.0</v>
      </c>
      <c r="I8" s="3" t="s">
        <v>59</v>
      </c>
      <c r="J8" s="11">
        <v>100.0</v>
      </c>
      <c r="K8" s="11">
        <v>100.0</v>
      </c>
      <c r="L8" s="3" t="s">
        <v>72</v>
      </c>
      <c r="M8" s="4" t="str">
        <f>VLOOKUP(C8,Apoio!A:B,2,0)</f>
        <v>11-50</v>
      </c>
      <c r="O8" s="4" t="s">
        <v>361</v>
      </c>
      <c r="P8" s="4">
        <f t="shared" ref="P8:Q8" si="7">COUNTIFS($F:$F,P$1,$M:$M,$O8)</f>
        <v>3</v>
      </c>
      <c r="Q8" s="4">
        <f t="shared" si="7"/>
        <v>0</v>
      </c>
    </row>
    <row r="9">
      <c r="A9" s="3" t="s">
        <v>369</v>
      </c>
      <c r="B9" s="3" t="s">
        <v>59</v>
      </c>
      <c r="C9" s="3" t="s">
        <v>61</v>
      </c>
      <c r="D9" s="3" t="s">
        <v>370</v>
      </c>
      <c r="E9" s="3" t="s">
        <v>171</v>
      </c>
      <c r="F9" s="8" t="s">
        <v>52</v>
      </c>
      <c r="G9" s="10">
        <v>204.915</v>
      </c>
      <c r="H9" s="7">
        <v>42706.0</v>
      </c>
      <c r="I9" s="3" t="s">
        <v>59</v>
      </c>
      <c r="J9" s="3" t="s">
        <v>373</v>
      </c>
      <c r="K9" s="11">
        <v>100.0</v>
      </c>
      <c r="L9" s="3" t="s">
        <v>68</v>
      </c>
      <c r="M9" s="4" t="str">
        <f>VLOOKUP(C9,Apoio!A:B,2,0)</f>
        <v>11-50</v>
      </c>
      <c r="O9" s="4" t="s">
        <v>321</v>
      </c>
      <c r="P9" s="4">
        <f t="shared" ref="P9:Q9" si="8">COUNTIFS($F:$F,P$1,$M:$M,$O9)</f>
        <v>8</v>
      </c>
      <c r="Q9" s="4">
        <f t="shared" si="8"/>
        <v>2</v>
      </c>
    </row>
    <row r="10">
      <c r="A10" s="3" t="s">
        <v>385</v>
      </c>
      <c r="B10" s="3" t="s">
        <v>59</v>
      </c>
      <c r="C10" s="3" t="s">
        <v>61</v>
      </c>
      <c r="D10" s="3" t="s">
        <v>386</v>
      </c>
      <c r="E10" s="3" t="s">
        <v>387</v>
      </c>
      <c r="F10" s="8" t="s">
        <v>52</v>
      </c>
      <c r="G10" s="10">
        <v>213.296</v>
      </c>
      <c r="H10" s="14">
        <v>43082.0</v>
      </c>
      <c r="I10" s="3" t="s">
        <v>59</v>
      </c>
      <c r="J10" s="11">
        <v>150.0</v>
      </c>
      <c r="K10" s="11">
        <v>100.0</v>
      </c>
      <c r="L10" s="3" t="s">
        <v>72</v>
      </c>
      <c r="M10" s="4" t="str">
        <f>VLOOKUP(C10,Apoio!A:B,2,0)</f>
        <v>11-50</v>
      </c>
    </row>
    <row r="11">
      <c r="A11" s="3" t="s">
        <v>394</v>
      </c>
      <c r="B11" s="3" t="s">
        <v>59</v>
      </c>
      <c r="C11" s="3" t="s">
        <v>61</v>
      </c>
      <c r="D11" s="3" t="s">
        <v>396</v>
      </c>
      <c r="E11" s="3" t="s">
        <v>397</v>
      </c>
      <c r="F11" s="8" t="s">
        <v>52</v>
      </c>
      <c r="G11" s="10">
        <v>245.591</v>
      </c>
      <c r="H11" s="14">
        <v>44194.0</v>
      </c>
      <c r="I11" s="3" t="s">
        <v>59</v>
      </c>
      <c r="J11" s="11">
        <v>100.0</v>
      </c>
      <c r="K11" s="11">
        <v>100.0</v>
      </c>
      <c r="L11" s="3" t="s">
        <v>68</v>
      </c>
      <c r="M11" s="4" t="str">
        <f>VLOOKUP(C11,Apoio!A:B,2,0)</f>
        <v>11-50</v>
      </c>
      <c r="O11" s="1" t="s">
        <v>400</v>
      </c>
      <c r="P11" s="4">
        <f t="shared" ref="P11:Q11" si="9">SUM(P2:P9)</f>
        <v>181</v>
      </c>
      <c r="Q11" s="4">
        <f t="shared" si="9"/>
        <v>73</v>
      </c>
    </row>
    <row r="12">
      <c r="A12" s="3" t="s">
        <v>405</v>
      </c>
      <c r="B12" s="3" t="s">
        <v>59</v>
      </c>
      <c r="C12" s="3" t="s">
        <v>61</v>
      </c>
      <c r="D12" s="3" t="s">
        <v>406</v>
      </c>
      <c r="E12" s="3" t="s">
        <v>408</v>
      </c>
      <c r="F12" s="8" t="s">
        <v>52</v>
      </c>
      <c r="G12" s="10">
        <v>93.591</v>
      </c>
      <c r="H12" s="7">
        <v>44265.0</v>
      </c>
      <c r="I12" s="3" t="s">
        <v>59</v>
      </c>
      <c r="J12" s="3" t="s">
        <v>410</v>
      </c>
      <c r="K12" s="11">
        <v>129.139</v>
      </c>
      <c r="L12" s="3" t="s">
        <v>72</v>
      </c>
      <c r="M12" s="4" t="str">
        <f>VLOOKUP(C12,Apoio!A:B,2,0)</f>
        <v>11-50</v>
      </c>
    </row>
    <row r="13">
      <c r="A13" s="3" t="s">
        <v>415</v>
      </c>
      <c r="B13" s="3" t="s">
        <v>59</v>
      </c>
      <c r="C13" s="3" t="s">
        <v>61</v>
      </c>
      <c r="D13" s="3" t="s">
        <v>417</v>
      </c>
      <c r="E13" s="3" t="s">
        <v>171</v>
      </c>
      <c r="F13" s="8" t="s">
        <v>52</v>
      </c>
      <c r="G13" s="10">
        <v>498.852</v>
      </c>
      <c r="H13" s="7">
        <v>41445.0</v>
      </c>
      <c r="I13" s="3" t="s">
        <v>59</v>
      </c>
      <c r="J13" s="11">
        <v>150.0</v>
      </c>
      <c r="K13" s="11">
        <v>150.0</v>
      </c>
      <c r="L13" s="3" t="s">
        <v>72</v>
      </c>
      <c r="M13" s="4" t="str">
        <f>VLOOKUP(C13,Apoio!A:B,2,0)</f>
        <v>11-50</v>
      </c>
    </row>
    <row r="14">
      <c r="A14" s="3" t="s">
        <v>423</v>
      </c>
      <c r="B14" s="3" t="s">
        <v>59</v>
      </c>
      <c r="C14" s="3" t="s">
        <v>61</v>
      </c>
      <c r="D14" s="3" t="s">
        <v>425</v>
      </c>
      <c r="E14" s="3" t="s">
        <v>171</v>
      </c>
      <c r="F14" s="8" t="s">
        <v>52</v>
      </c>
      <c r="G14" s="10">
        <v>142.155</v>
      </c>
      <c r="H14" s="7">
        <v>44294.0</v>
      </c>
      <c r="I14" s="3" t="s">
        <v>59</v>
      </c>
      <c r="J14" s="11">
        <v>200.0</v>
      </c>
      <c r="K14" s="11">
        <v>200.0</v>
      </c>
      <c r="L14" s="3" t="s">
        <v>72</v>
      </c>
      <c r="M14" s="4" t="str">
        <f>VLOOKUP(C14,Apoio!A:B,2,0)</f>
        <v>11-50</v>
      </c>
    </row>
    <row r="15">
      <c r="A15" s="3" t="s">
        <v>430</v>
      </c>
      <c r="B15" s="3" t="s">
        <v>59</v>
      </c>
      <c r="C15" s="3" t="s">
        <v>61</v>
      </c>
      <c r="D15" s="3" t="s">
        <v>432</v>
      </c>
      <c r="E15" s="3" t="s">
        <v>171</v>
      </c>
      <c r="F15" s="8" t="s">
        <v>52</v>
      </c>
      <c r="G15" s="10">
        <v>633.519</v>
      </c>
      <c r="H15" s="7">
        <v>42064.0</v>
      </c>
      <c r="I15" s="3" t="s">
        <v>59</v>
      </c>
      <c r="J15" s="11">
        <v>200.0</v>
      </c>
      <c r="K15" s="11">
        <v>200.0</v>
      </c>
      <c r="L15" s="3" t="s">
        <v>72</v>
      </c>
      <c r="M15" s="4" t="str">
        <f>VLOOKUP(C15,Apoio!A:B,2,0)</f>
        <v>11-50</v>
      </c>
      <c r="O15" s="1" t="s">
        <v>436</v>
      </c>
      <c r="P15" s="4">
        <f t="shared" ref="P15:Q15" si="10">SUM(P2:P5)</f>
        <v>145</v>
      </c>
      <c r="Q15" s="4">
        <f t="shared" si="10"/>
        <v>67</v>
      </c>
    </row>
    <row r="16">
      <c r="A16" s="3" t="s">
        <v>440</v>
      </c>
      <c r="B16" s="3" t="s">
        <v>59</v>
      </c>
      <c r="C16" s="3" t="s">
        <v>61</v>
      </c>
      <c r="D16" s="3" t="s">
        <v>442</v>
      </c>
      <c r="E16" s="3" t="s">
        <v>443</v>
      </c>
      <c r="F16" s="8" t="s">
        <v>52</v>
      </c>
      <c r="G16" s="10">
        <v>535.279</v>
      </c>
      <c r="H16" s="7">
        <v>41548.0</v>
      </c>
      <c r="I16" s="3" t="s">
        <v>59</v>
      </c>
      <c r="J16" s="11">
        <v>730.0</v>
      </c>
      <c r="K16" s="11">
        <v>230.0</v>
      </c>
      <c r="L16" s="3" t="s">
        <v>72</v>
      </c>
      <c r="M16" s="4" t="str">
        <f>VLOOKUP(C16,Apoio!A:B,2,0)</f>
        <v>11-50</v>
      </c>
    </row>
    <row r="17">
      <c r="A17" s="3" t="s">
        <v>449</v>
      </c>
      <c r="B17" s="3" t="s">
        <v>59</v>
      </c>
      <c r="C17" s="3" t="s">
        <v>61</v>
      </c>
      <c r="D17" s="3" t="s">
        <v>450</v>
      </c>
      <c r="E17" s="3" t="s">
        <v>171</v>
      </c>
      <c r="F17" s="8" t="s">
        <v>52</v>
      </c>
      <c r="G17" s="10">
        <v>184.569</v>
      </c>
      <c r="H17" s="7">
        <v>44985.0</v>
      </c>
      <c r="I17" s="3" t="s">
        <v>59</v>
      </c>
      <c r="J17" s="11">
        <v>250.0</v>
      </c>
      <c r="K17" s="11">
        <v>250.0</v>
      </c>
      <c r="L17" s="3" t="s">
        <v>72</v>
      </c>
      <c r="M17" s="4" t="str">
        <f>VLOOKUP(C17,Apoio!A:B,2,0)</f>
        <v>11-50</v>
      </c>
    </row>
    <row r="18">
      <c r="A18" s="3" t="s">
        <v>456</v>
      </c>
      <c r="B18" s="3" t="s">
        <v>59</v>
      </c>
      <c r="C18" s="3" t="s">
        <v>61</v>
      </c>
      <c r="D18" s="3" t="s">
        <v>457</v>
      </c>
      <c r="E18" s="3" t="s">
        <v>66</v>
      </c>
      <c r="F18" s="8" t="s">
        <v>52</v>
      </c>
      <c r="G18" s="3" t="s">
        <v>460</v>
      </c>
      <c r="H18" s="7">
        <v>42339.0</v>
      </c>
      <c r="I18" s="3" t="s">
        <v>167</v>
      </c>
      <c r="J18" s="3" t="s">
        <v>461</v>
      </c>
      <c r="K18" s="11">
        <v>250.0</v>
      </c>
      <c r="L18" s="3" t="s">
        <v>68</v>
      </c>
      <c r="M18" s="4" t="str">
        <f>VLOOKUP(C18,Apoio!A:B,2,0)</f>
        <v>11-50</v>
      </c>
    </row>
    <row r="19">
      <c r="A19" s="3" t="s">
        <v>462</v>
      </c>
      <c r="B19" s="3" t="s">
        <v>59</v>
      </c>
      <c r="C19" s="3" t="s">
        <v>61</v>
      </c>
      <c r="D19" s="3" t="s">
        <v>463</v>
      </c>
      <c r="E19" s="3" t="s">
        <v>464</v>
      </c>
      <c r="F19" s="8" t="s">
        <v>52</v>
      </c>
      <c r="G19" s="10">
        <v>140.658</v>
      </c>
      <c r="H19" s="7">
        <v>43524.0</v>
      </c>
      <c r="I19" s="3" t="s">
        <v>59</v>
      </c>
      <c r="J19" s="11">
        <v>300.0</v>
      </c>
      <c r="K19" s="11">
        <v>300.0</v>
      </c>
      <c r="L19" s="3" t="s">
        <v>72</v>
      </c>
      <c r="M19" s="4" t="str">
        <f>VLOOKUP(C19,Apoio!A:B,2,0)</f>
        <v>11-50</v>
      </c>
    </row>
    <row r="20">
      <c r="A20" s="3" t="s">
        <v>465</v>
      </c>
      <c r="B20" s="3" t="s">
        <v>59</v>
      </c>
      <c r="C20" s="3" t="s">
        <v>61</v>
      </c>
      <c r="D20" s="3" t="s">
        <v>466</v>
      </c>
      <c r="E20" s="3" t="s">
        <v>467</v>
      </c>
      <c r="F20" s="8" t="s">
        <v>52</v>
      </c>
      <c r="G20" s="10">
        <v>416.447</v>
      </c>
      <c r="H20" s="7">
        <v>41820.0</v>
      </c>
      <c r="I20" s="3" t="s">
        <v>59</v>
      </c>
      <c r="J20" s="11">
        <v>300.0</v>
      </c>
      <c r="K20" s="11">
        <v>300.0</v>
      </c>
      <c r="L20" s="3" t="s">
        <v>72</v>
      </c>
      <c r="M20" s="4" t="str">
        <f>VLOOKUP(C20,Apoio!A:B,2,0)</f>
        <v>11-50</v>
      </c>
    </row>
    <row r="21">
      <c r="A21" s="3" t="s">
        <v>468</v>
      </c>
      <c r="B21" s="3" t="s">
        <v>59</v>
      </c>
      <c r="C21" s="3" t="s">
        <v>61</v>
      </c>
      <c r="D21" s="3" t="s">
        <v>469</v>
      </c>
      <c r="E21" s="3" t="s">
        <v>470</v>
      </c>
      <c r="F21" s="8" t="s">
        <v>52</v>
      </c>
      <c r="G21" s="10">
        <v>168.628</v>
      </c>
      <c r="H21" s="14">
        <v>43415.0</v>
      </c>
      <c r="I21" s="3" t="s">
        <v>59</v>
      </c>
      <c r="J21" s="11">
        <v>450.0</v>
      </c>
      <c r="K21" s="11">
        <v>450.0</v>
      </c>
      <c r="L21" s="3" t="s">
        <v>72</v>
      </c>
      <c r="M21" s="4" t="str">
        <f>VLOOKUP(C21,Apoio!A:B,2,0)</f>
        <v>11-50</v>
      </c>
    </row>
    <row r="22">
      <c r="A22" s="3" t="s">
        <v>471</v>
      </c>
      <c r="B22" s="3" t="s">
        <v>59</v>
      </c>
      <c r="C22" s="3" t="s">
        <v>61</v>
      </c>
      <c r="D22" s="3" t="s">
        <v>472</v>
      </c>
      <c r="E22" s="3" t="s">
        <v>261</v>
      </c>
      <c r="F22" s="1" t="s">
        <v>51</v>
      </c>
      <c r="G22" s="10">
        <v>102.173</v>
      </c>
      <c r="H22" s="7">
        <v>44596.0</v>
      </c>
      <c r="I22" s="3" t="s">
        <v>59</v>
      </c>
      <c r="J22" s="3" t="s">
        <v>473</v>
      </c>
      <c r="K22" s="17">
        <v>500.0</v>
      </c>
      <c r="L22" s="3" t="s">
        <v>72</v>
      </c>
      <c r="M22" s="4" t="str">
        <f>VLOOKUP(C22,Apoio!A:B,2,0)</f>
        <v>11-50</v>
      </c>
    </row>
    <row r="23">
      <c r="A23" s="3" t="s">
        <v>474</v>
      </c>
      <c r="B23" s="3" t="s">
        <v>59</v>
      </c>
      <c r="C23" s="3" t="s">
        <v>330</v>
      </c>
      <c r="D23" s="3" t="s">
        <v>475</v>
      </c>
      <c r="E23" s="3" t="s">
        <v>397</v>
      </c>
      <c r="F23" s="8" t="s">
        <v>52</v>
      </c>
      <c r="G23" s="10">
        <v>116.484</v>
      </c>
      <c r="H23" s="14">
        <v>44918.0</v>
      </c>
      <c r="I23" s="3" t="s">
        <v>59</v>
      </c>
      <c r="J23" s="3" t="s">
        <v>476</v>
      </c>
      <c r="K23" s="11">
        <v>500.0</v>
      </c>
      <c r="L23" s="3" t="s">
        <v>72</v>
      </c>
      <c r="M23" s="4" t="str">
        <f>VLOOKUP(C23,Apoio!A:B,2,0)</f>
        <v>501-1000</v>
      </c>
    </row>
    <row r="24">
      <c r="A24" s="3" t="s">
        <v>477</v>
      </c>
      <c r="B24" s="3" t="s">
        <v>59</v>
      </c>
      <c r="C24" s="3" t="s">
        <v>61</v>
      </c>
      <c r="D24" s="3" t="s">
        <v>478</v>
      </c>
      <c r="E24" s="3" t="s">
        <v>66</v>
      </c>
      <c r="F24" s="8" t="s">
        <v>52</v>
      </c>
      <c r="G24" s="10">
        <v>120.094</v>
      </c>
      <c r="H24" s="14">
        <v>43451.0</v>
      </c>
      <c r="I24" s="3" t="s">
        <v>59</v>
      </c>
      <c r="J24" s="11">
        <v>500.0</v>
      </c>
      <c r="K24" s="11">
        <v>500.0</v>
      </c>
      <c r="L24" s="3" t="s">
        <v>72</v>
      </c>
      <c r="M24" s="4" t="str">
        <f>VLOOKUP(C24,Apoio!A:B,2,0)</f>
        <v>11-50</v>
      </c>
    </row>
    <row r="25">
      <c r="A25" s="3" t="s">
        <v>479</v>
      </c>
      <c r="B25" s="3" t="s">
        <v>59</v>
      </c>
      <c r="C25" s="3" t="s">
        <v>61</v>
      </c>
      <c r="D25" s="3" t="s">
        <v>480</v>
      </c>
      <c r="E25" s="3" t="s">
        <v>66</v>
      </c>
      <c r="F25" s="8" t="s">
        <v>52</v>
      </c>
      <c r="G25" s="10">
        <v>151.616</v>
      </c>
      <c r="H25" s="7">
        <v>43731.0</v>
      </c>
      <c r="I25" s="3" t="s">
        <v>59</v>
      </c>
      <c r="J25" s="11">
        <v>500.0</v>
      </c>
      <c r="K25" s="11">
        <v>500.0</v>
      </c>
      <c r="L25" s="3" t="s">
        <v>72</v>
      </c>
      <c r="M25" s="4" t="str">
        <f>VLOOKUP(C25,Apoio!A:B,2,0)</f>
        <v>11-50</v>
      </c>
    </row>
    <row r="26">
      <c r="A26" s="3" t="s">
        <v>485</v>
      </c>
      <c r="B26" s="3" t="s">
        <v>59</v>
      </c>
      <c r="C26" s="3" t="s">
        <v>61</v>
      </c>
      <c r="D26" s="3" t="s">
        <v>487</v>
      </c>
      <c r="E26" s="3" t="s">
        <v>488</v>
      </c>
      <c r="F26" s="8" t="s">
        <v>52</v>
      </c>
      <c r="G26" s="10">
        <v>217.882</v>
      </c>
      <c r="H26" s="7">
        <v>43501.0</v>
      </c>
      <c r="I26" s="3" t="s">
        <v>59</v>
      </c>
      <c r="J26" s="11">
        <v>500.0</v>
      </c>
      <c r="K26" s="11">
        <v>500.0</v>
      </c>
      <c r="L26" s="3" t="s">
        <v>68</v>
      </c>
      <c r="M26" s="4" t="str">
        <f>VLOOKUP(C26,Apoio!A:B,2,0)</f>
        <v>11-50</v>
      </c>
    </row>
    <row r="27">
      <c r="A27" s="3" t="s">
        <v>491</v>
      </c>
      <c r="B27" s="3" t="s">
        <v>59</v>
      </c>
      <c r="C27" s="3" t="s">
        <v>61</v>
      </c>
      <c r="D27" s="3" t="s">
        <v>492</v>
      </c>
      <c r="E27" s="3" t="s">
        <v>66</v>
      </c>
      <c r="F27" s="8" t="s">
        <v>52</v>
      </c>
      <c r="G27" s="10">
        <v>133.518</v>
      </c>
      <c r="H27" s="7">
        <v>43646.0</v>
      </c>
      <c r="I27" s="3" t="s">
        <v>59</v>
      </c>
      <c r="J27" s="11">
        <v>800.0</v>
      </c>
      <c r="K27" s="11">
        <v>600.0</v>
      </c>
      <c r="L27" s="3" t="s">
        <v>72</v>
      </c>
      <c r="M27" s="4" t="str">
        <f>VLOOKUP(C27,Apoio!A:B,2,0)</f>
        <v>11-50</v>
      </c>
    </row>
    <row r="28">
      <c r="A28" s="3" t="s">
        <v>493</v>
      </c>
      <c r="B28" s="3" t="s">
        <v>59</v>
      </c>
      <c r="C28" s="3" t="s">
        <v>61</v>
      </c>
      <c r="D28" s="3" t="s">
        <v>494</v>
      </c>
      <c r="E28" s="3" t="s">
        <v>495</v>
      </c>
      <c r="F28" s="8" t="s">
        <v>52</v>
      </c>
      <c r="G28" s="10">
        <v>151.726</v>
      </c>
      <c r="H28" s="7">
        <v>43504.0</v>
      </c>
      <c r="I28" s="3" t="s">
        <v>59</v>
      </c>
      <c r="J28" s="11">
        <v>600.0</v>
      </c>
      <c r="K28" s="11">
        <v>600.0</v>
      </c>
      <c r="L28" s="3" t="s">
        <v>72</v>
      </c>
      <c r="M28" s="4" t="str">
        <f>VLOOKUP(C28,Apoio!A:B,2,0)</f>
        <v>11-50</v>
      </c>
    </row>
    <row r="29">
      <c r="A29" s="22" t="s">
        <v>497</v>
      </c>
      <c r="B29" s="3" t="s">
        <v>59</v>
      </c>
      <c r="C29" s="3" t="s">
        <v>61</v>
      </c>
      <c r="D29" s="3" t="s">
        <v>498</v>
      </c>
      <c r="E29" s="3" t="s">
        <v>66</v>
      </c>
      <c r="F29" s="8" t="s">
        <v>52</v>
      </c>
      <c r="G29" s="10">
        <v>314.538</v>
      </c>
      <c r="H29" s="7">
        <v>41830.0</v>
      </c>
      <c r="I29" s="3" t="s">
        <v>167</v>
      </c>
      <c r="J29" s="11">
        <v>650.0</v>
      </c>
      <c r="K29" s="11">
        <v>650.0</v>
      </c>
      <c r="L29" s="3" t="s">
        <v>72</v>
      </c>
      <c r="M29" s="4" t="str">
        <f>VLOOKUP(C29,Apoio!A:B,2,0)</f>
        <v>11-50</v>
      </c>
    </row>
    <row r="30">
      <c r="A30" s="3" t="s">
        <v>500</v>
      </c>
      <c r="B30" s="3" t="s">
        <v>59</v>
      </c>
      <c r="C30" s="3" t="s">
        <v>61</v>
      </c>
      <c r="D30" s="3" t="s">
        <v>501</v>
      </c>
      <c r="E30" s="3" t="s">
        <v>502</v>
      </c>
      <c r="F30" s="8" t="s">
        <v>52</v>
      </c>
      <c r="G30" s="10">
        <v>168.544</v>
      </c>
      <c r="H30" s="14">
        <v>44864.0</v>
      </c>
      <c r="I30" s="3" t="s">
        <v>59</v>
      </c>
      <c r="J30" s="11">
        <v>700.0</v>
      </c>
      <c r="K30" s="11">
        <v>700.0</v>
      </c>
      <c r="L30" s="3" t="s">
        <v>72</v>
      </c>
      <c r="M30" s="4" t="str">
        <f>VLOOKUP(C30,Apoio!A:B,2,0)</f>
        <v>11-50</v>
      </c>
    </row>
    <row r="31">
      <c r="A31" s="3" t="s">
        <v>503</v>
      </c>
      <c r="B31" s="3" t="s">
        <v>59</v>
      </c>
      <c r="C31" s="3" t="s">
        <v>61</v>
      </c>
      <c r="D31" s="3" t="s">
        <v>504</v>
      </c>
      <c r="E31" s="3" t="s">
        <v>66</v>
      </c>
      <c r="F31" s="8" t="s">
        <v>52</v>
      </c>
      <c r="G31" s="3" t="s">
        <v>505</v>
      </c>
      <c r="H31" s="7">
        <v>41817.0</v>
      </c>
      <c r="I31" s="3" t="s">
        <v>59</v>
      </c>
      <c r="J31" s="11">
        <v>750.0</v>
      </c>
      <c r="K31" s="11">
        <v>750.0</v>
      </c>
      <c r="L31" s="3" t="s">
        <v>68</v>
      </c>
      <c r="M31" s="4" t="str">
        <f>VLOOKUP(C31,Apoio!A:B,2,0)</f>
        <v>11-50</v>
      </c>
    </row>
    <row r="32">
      <c r="A32" s="3" t="s">
        <v>506</v>
      </c>
      <c r="B32" s="3" t="s">
        <v>59</v>
      </c>
      <c r="C32" s="3" t="s">
        <v>61</v>
      </c>
      <c r="D32" s="3" t="s">
        <v>507</v>
      </c>
      <c r="E32" s="3" t="s">
        <v>488</v>
      </c>
      <c r="F32" s="8" t="s">
        <v>52</v>
      </c>
      <c r="G32" s="3" t="s">
        <v>508</v>
      </c>
      <c r="H32" s="7">
        <v>41480.0</v>
      </c>
      <c r="I32" s="3" t="s">
        <v>167</v>
      </c>
      <c r="J32" s="11">
        <v>760.0</v>
      </c>
      <c r="K32" s="11">
        <v>760.0</v>
      </c>
      <c r="L32" s="3" t="s">
        <v>68</v>
      </c>
      <c r="M32" s="4" t="str">
        <f>VLOOKUP(C32,Apoio!A:B,2,0)</f>
        <v>11-50</v>
      </c>
    </row>
    <row r="33">
      <c r="A33" s="3" t="s">
        <v>509</v>
      </c>
      <c r="B33" s="3" t="s">
        <v>59</v>
      </c>
      <c r="C33" s="3" t="s">
        <v>61</v>
      </c>
      <c r="D33" s="3" t="s">
        <v>510</v>
      </c>
      <c r="E33" s="3" t="s">
        <v>171</v>
      </c>
      <c r="F33" s="8" t="s">
        <v>52</v>
      </c>
      <c r="G33" s="10">
        <v>109.458</v>
      </c>
      <c r="H33" s="7">
        <v>44797.0</v>
      </c>
      <c r="I33" s="3" t="s">
        <v>59</v>
      </c>
      <c r="J33" s="11">
        <v>770.0</v>
      </c>
      <c r="K33" s="11">
        <v>770.0</v>
      </c>
      <c r="L33" s="3" t="s">
        <v>72</v>
      </c>
      <c r="M33" s="4" t="str">
        <f>VLOOKUP(C33,Apoio!A:B,2,0)</f>
        <v>11-50</v>
      </c>
    </row>
    <row r="34">
      <c r="A34" s="3" t="s">
        <v>511</v>
      </c>
      <c r="B34" s="3" t="s">
        <v>59</v>
      </c>
      <c r="C34" s="3" t="s">
        <v>61</v>
      </c>
      <c r="D34" s="3" t="s">
        <v>512</v>
      </c>
      <c r="E34" s="3" t="s">
        <v>171</v>
      </c>
      <c r="F34" s="8" t="s">
        <v>52</v>
      </c>
      <c r="G34" s="10">
        <v>97.413</v>
      </c>
      <c r="H34" s="7">
        <v>44454.0</v>
      </c>
      <c r="I34" s="3" t="s">
        <v>59</v>
      </c>
      <c r="J34" s="3" t="s">
        <v>513</v>
      </c>
      <c r="K34" s="11">
        <v>800.0</v>
      </c>
      <c r="L34" s="3" t="s">
        <v>72</v>
      </c>
      <c r="M34" s="4" t="str">
        <f>VLOOKUP(C34,Apoio!A:B,2,0)</f>
        <v>11-50</v>
      </c>
    </row>
    <row r="35">
      <c r="A35" s="3" t="s">
        <v>517</v>
      </c>
      <c r="B35" s="3" t="s">
        <v>59</v>
      </c>
      <c r="C35" s="3" t="s">
        <v>61</v>
      </c>
      <c r="D35" s="3" t="s">
        <v>518</v>
      </c>
      <c r="E35" s="3" t="s">
        <v>66</v>
      </c>
      <c r="F35" s="8" t="s">
        <v>52</v>
      </c>
      <c r="G35" s="10">
        <v>127.886</v>
      </c>
      <c r="H35" s="7">
        <v>44470.0</v>
      </c>
      <c r="I35" s="3" t="s">
        <v>59</v>
      </c>
      <c r="J35" s="3" t="s">
        <v>520</v>
      </c>
      <c r="K35" s="11">
        <v>900.0</v>
      </c>
      <c r="L35" s="3" t="s">
        <v>72</v>
      </c>
      <c r="M35" s="4" t="str">
        <f>VLOOKUP(C35,Apoio!A:B,2,0)</f>
        <v>11-50</v>
      </c>
    </row>
    <row r="36">
      <c r="A36" s="3" t="s">
        <v>529</v>
      </c>
      <c r="B36" s="3" t="s">
        <v>59</v>
      </c>
      <c r="C36" s="3" t="s">
        <v>61</v>
      </c>
      <c r="D36" s="3" t="s">
        <v>530</v>
      </c>
      <c r="E36" s="3" t="s">
        <v>531</v>
      </c>
      <c r="F36" s="8" t="s">
        <v>52</v>
      </c>
      <c r="G36" s="3" t="s">
        <v>68</v>
      </c>
      <c r="H36" s="3" t="s">
        <v>68</v>
      </c>
      <c r="I36" s="3" t="s">
        <v>68</v>
      </c>
      <c r="J36" s="3" t="s">
        <v>68</v>
      </c>
      <c r="K36" s="3" t="s">
        <v>68</v>
      </c>
      <c r="L36" s="3" t="s">
        <v>68</v>
      </c>
      <c r="M36" s="4" t="str">
        <f>VLOOKUP(C36,Apoio!A:B,2,0)</f>
        <v>11-50</v>
      </c>
    </row>
    <row r="37">
      <c r="A37" s="3" t="s">
        <v>532</v>
      </c>
      <c r="B37" s="3" t="s">
        <v>320</v>
      </c>
      <c r="C37" s="3" t="s">
        <v>533</v>
      </c>
      <c r="D37" s="3" t="s">
        <v>535</v>
      </c>
      <c r="E37" s="3" t="s">
        <v>46</v>
      </c>
      <c r="F37" s="1" t="s">
        <v>51</v>
      </c>
      <c r="G37" s="6">
        <v>49319.0</v>
      </c>
      <c r="H37" s="7">
        <v>46049.0</v>
      </c>
      <c r="I37" s="3" t="s">
        <v>364</v>
      </c>
      <c r="J37" s="3" t="s">
        <v>536</v>
      </c>
      <c r="K37" s="3" t="s">
        <v>537</v>
      </c>
      <c r="L37" s="3" t="s">
        <v>72</v>
      </c>
      <c r="M37" s="4" t="str">
        <f>VLOOKUP(C37,Apoio!A:B,2,0)</f>
        <v>10k+</v>
      </c>
    </row>
    <row r="38">
      <c r="A38" s="3" t="s">
        <v>540</v>
      </c>
      <c r="B38" s="3" t="s">
        <v>391</v>
      </c>
      <c r="C38" s="3" t="s">
        <v>109</v>
      </c>
      <c r="D38" s="3" t="s">
        <v>541</v>
      </c>
      <c r="E38" s="3" t="s">
        <v>325</v>
      </c>
      <c r="F38" s="1" t="s">
        <v>51</v>
      </c>
      <c r="G38" s="6">
        <v>46204.0</v>
      </c>
      <c r="H38" s="7">
        <v>43773.0</v>
      </c>
      <c r="I38" s="3" t="s">
        <v>393</v>
      </c>
      <c r="J38" s="3" t="s">
        <v>542</v>
      </c>
      <c r="K38" s="3" t="s">
        <v>543</v>
      </c>
      <c r="L38" s="3" t="s">
        <v>72</v>
      </c>
      <c r="M38" s="4" t="str">
        <f>VLOOKUP(C38,Apoio!A:B,2,0)</f>
        <v>101-250</v>
      </c>
    </row>
    <row r="39">
      <c r="A39" s="3" t="s">
        <v>544</v>
      </c>
      <c r="B39" s="3" t="s">
        <v>59</v>
      </c>
      <c r="C39" s="3" t="s">
        <v>78</v>
      </c>
      <c r="D39" s="3" t="s">
        <v>545</v>
      </c>
      <c r="E39" s="3" t="s">
        <v>46</v>
      </c>
      <c r="F39" s="1" t="s">
        <v>51</v>
      </c>
      <c r="G39" s="6">
        <v>41566.0</v>
      </c>
      <c r="H39" s="7">
        <v>45379.0</v>
      </c>
      <c r="I39" s="3" t="s">
        <v>59</v>
      </c>
      <c r="J39" s="3" t="s">
        <v>546</v>
      </c>
      <c r="K39" s="3" t="s">
        <v>87</v>
      </c>
      <c r="L39" s="3" t="s">
        <v>106</v>
      </c>
      <c r="M39" s="4" t="str">
        <f>VLOOKUP(C39,Apoio!A:B,2,0)</f>
        <v>51-100</v>
      </c>
    </row>
    <row r="40">
      <c r="A40" s="3" t="s">
        <v>547</v>
      </c>
      <c r="B40" s="3" t="s">
        <v>76</v>
      </c>
      <c r="C40" s="3" t="s">
        <v>78</v>
      </c>
      <c r="D40" s="3" t="s">
        <v>548</v>
      </c>
      <c r="E40" s="3" t="s">
        <v>46</v>
      </c>
      <c r="F40" s="1" t="s">
        <v>51</v>
      </c>
      <c r="G40" s="6">
        <v>42072.0</v>
      </c>
      <c r="H40" s="7">
        <v>44656.0</v>
      </c>
      <c r="I40" s="3" t="s">
        <v>84</v>
      </c>
      <c r="J40" s="3" t="s">
        <v>549</v>
      </c>
      <c r="K40" s="3" t="s">
        <v>87</v>
      </c>
      <c r="L40" s="3" t="s">
        <v>72</v>
      </c>
      <c r="M40" s="4" t="str">
        <f>VLOOKUP(C40,Apoio!A:B,2,0)</f>
        <v>51-100</v>
      </c>
    </row>
    <row r="41">
      <c r="A41" s="3" t="s">
        <v>551</v>
      </c>
      <c r="B41" s="3" t="s">
        <v>38</v>
      </c>
      <c r="C41" s="3" t="s">
        <v>109</v>
      </c>
      <c r="D41" s="3" t="s">
        <v>552</v>
      </c>
      <c r="E41" s="3" t="s">
        <v>261</v>
      </c>
      <c r="F41" s="1" t="s">
        <v>51</v>
      </c>
      <c r="G41" s="6">
        <v>45946.0</v>
      </c>
      <c r="H41" s="14">
        <v>45229.0</v>
      </c>
      <c r="I41" s="3" t="s">
        <v>68</v>
      </c>
      <c r="J41" s="3" t="s">
        <v>554</v>
      </c>
      <c r="K41" s="3" t="s">
        <v>87</v>
      </c>
      <c r="L41" s="3" t="s">
        <v>72</v>
      </c>
      <c r="M41" s="4" t="str">
        <f>VLOOKUP(C41,Apoio!A:B,2,0)</f>
        <v>101-250</v>
      </c>
    </row>
    <row r="42">
      <c r="A42" s="3" t="s">
        <v>556</v>
      </c>
      <c r="B42" s="3" t="s">
        <v>38</v>
      </c>
      <c r="C42" s="3" t="s">
        <v>109</v>
      </c>
      <c r="D42" s="3" t="s">
        <v>557</v>
      </c>
      <c r="E42" s="3" t="s">
        <v>46</v>
      </c>
      <c r="F42" s="1" t="s">
        <v>51</v>
      </c>
      <c r="G42" s="6">
        <v>48582.0</v>
      </c>
      <c r="H42" s="7">
        <v>45483.0</v>
      </c>
      <c r="I42" s="3" t="s">
        <v>68</v>
      </c>
      <c r="J42" s="3" t="s">
        <v>95</v>
      </c>
      <c r="K42" s="3" t="s">
        <v>87</v>
      </c>
      <c r="L42" s="3" t="s">
        <v>172</v>
      </c>
      <c r="M42" s="4" t="str">
        <f>VLOOKUP(C42,Apoio!A:B,2,0)</f>
        <v>101-250</v>
      </c>
    </row>
    <row r="43">
      <c r="A43" s="3" t="s">
        <v>559</v>
      </c>
      <c r="B43" s="3" t="s">
        <v>289</v>
      </c>
      <c r="C43" s="3" t="s">
        <v>109</v>
      </c>
      <c r="D43" s="3" t="s">
        <v>560</v>
      </c>
      <c r="E43" s="3" t="s">
        <v>46</v>
      </c>
      <c r="F43" s="1" t="s">
        <v>51</v>
      </c>
      <c r="G43" s="6">
        <v>41518.0</v>
      </c>
      <c r="H43" s="7">
        <v>45485.0</v>
      </c>
      <c r="I43" s="3" t="s">
        <v>84</v>
      </c>
      <c r="J43" s="3" t="s">
        <v>561</v>
      </c>
      <c r="K43" s="3" t="s">
        <v>562</v>
      </c>
      <c r="L43" s="3" t="s">
        <v>172</v>
      </c>
      <c r="M43" s="4" t="str">
        <f>VLOOKUP(C43,Apoio!A:B,2,0)</f>
        <v>101-250</v>
      </c>
    </row>
    <row r="44">
      <c r="A44" s="3" t="s">
        <v>564</v>
      </c>
      <c r="B44" s="3" t="s">
        <v>565</v>
      </c>
      <c r="C44" s="3" t="s">
        <v>41</v>
      </c>
      <c r="D44" s="3" t="s">
        <v>566</v>
      </c>
      <c r="E44" s="3" t="s">
        <v>567</v>
      </c>
      <c r="F44" s="1" t="s">
        <v>51</v>
      </c>
      <c r="G44" s="6">
        <v>42363.0</v>
      </c>
      <c r="H44" s="7">
        <v>44756.0</v>
      </c>
      <c r="I44" s="3" t="s">
        <v>393</v>
      </c>
      <c r="J44" s="3" t="s">
        <v>568</v>
      </c>
      <c r="K44" s="3" t="s">
        <v>236</v>
      </c>
      <c r="L44" s="3" t="s">
        <v>72</v>
      </c>
      <c r="M44" s="4" t="str">
        <f>VLOOKUP(C44,Apoio!A:B,2,0)</f>
        <v>251-500</v>
      </c>
    </row>
    <row r="45">
      <c r="A45" s="3" t="s">
        <v>570</v>
      </c>
      <c r="B45" s="3" t="s">
        <v>76</v>
      </c>
      <c r="C45" s="3" t="s">
        <v>109</v>
      </c>
      <c r="D45" s="3" t="s">
        <v>571</v>
      </c>
      <c r="E45" s="3" t="s">
        <v>46</v>
      </c>
      <c r="F45" s="1" t="s">
        <v>51</v>
      </c>
      <c r="G45" s="6">
        <v>45433.0</v>
      </c>
      <c r="H45" s="14">
        <v>44510.0</v>
      </c>
      <c r="I45" s="3" t="s">
        <v>84</v>
      </c>
      <c r="J45" s="3" t="s">
        <v>235</v>
      </c>
      <c r="K45" s="3" t="s">
        <v>236</v>
      </c>
      <c r="L45" s="3" t="s">
        <v>72</v>
      </c>
      <c r="M45" s="4" t="str">
        <f>VLOOKUP(C45,Apoio!A:B,2,0)</f>
        <v>101-250</v>
      </c>
    </row>
    <row r="46">
      <c r="A46" s="3" t="s">
        <v>573</v>
      </c>
      <c r="B46" s="3" t="s">
        <v>76</v>
      </c>
      <c r="C46" s="3" t="s">
        <v>109</v>
      </c>
      <c r="D46" s="3" t="s">
        <v>574</v>
      </c>
      <c r="E46" s="3" t="s">
        <v>46</v>
      </c>
      <c r="F46" s="1" t="s">
        <v>51</v>
      </c>
      <c r="G46" s="6">
        <v>49328.0</v>
      </c>
      <c r="H46" s="7">
        <v>44091.0</v>
      </c>
      <c r="I46" s="3" t="s">
        <v>84</v>
      </c>
      <c r="J46" s="3" t="s">
        <v>576</v>
      </c>
      <c r="K46" s="3" t="s">
        <v>236</v>
      </c>
      <c r="L46" s="3" t="s">
        <v>72</v>
      </c>
      <c r="M46" s="4" t="str">
        <f>VLOOKUP(C46,Apoio!A:B,2,0)</f>
        <v>101-250</v>
      </c>
    </row>
    <row r="47">
      <c r="A47" s="3" t="s">
        <v>577</v>
      </c>
      <c r="B47" s="3" t="s">
        <v>59</v>
      </c>
      <c r="C47" s="3" t="s">
        <v>61</v>
      </c>
      <c r="D47" s="3" t="s">
        <v>578</v>
      </c>
      <c r="E47" s="3" t="s">
        <v>46</v>
      </c>
      <c r="F47" s="1" t="s">
        <v>51</v>
      </c>
      <c r="G47" s="6">
        <v>44278.0</v>
      </c>
      <c r="H47" s="7">
        <v>45839.0</v>
      </c>
      <c r="I47" s="3" t="s">
        <v>59</v>
      </c>
      <c r="J47" s="3" t="s">
        <v>579</v>
      </c>
      <c r="K47" s="3" t="s">
        <v>580</v>
      </c>
      <c r="L47" s="3" t="s">
        <v>72</v>
      </c>
      <c r="M47" s="4" t="str">
        <f>VLOOKUP(C47,Apoio!A:B,2,0)</f>
        <v>11-50</v>
      </c>
    </row>
    <row r="48">
      <c r="A48" s="22" t="s">
        <v>581</v>
      </c>
      <c r="B48" s="3" t="s">
        <v>59</v>
      </c>
      <c r="C48" s="3" t="s">
        <v>61</v>
      </c>
      <c r="D48" s="3" t="s">
        <v>587</v>
      </c>
      <c r="E48" s="3" t="s">
        <v>188</v>
      </c>
      <c r="F48" s="1" t="s">
        <v>51</v>
      </c>
      <c r="G48" s="6">
        <v>43447.0</v>
      </c>
      <c r="H48" s="7">
        <v>45300.0</v>
      </c>
      <c r="I48" s="3" t="s">
        <v>59</v>
      </c>
      <c r="J48" s="3" t="s">
        <v>588</v>
      </c>
      <c r="K48" s="3" t="s">
        <v>589</v>
      </c>
      <c r="L48" s="3" t="s">
        <v>72</v>
      </c>
      <c r="M48" s="4" t="str">
        <f>VLOOKUP(C48,Apoio!A:B,2,0)</f>
        <v>11-50</v>
      </c>
    </row>
    <row r="49">
      <c r="A49" s="3" t="s">
        <v>590</v>
      </c>
      <c r="B49" s="3" t="s">
        <v>59</v>
      </c>
      <c r="C49" s="3" t="s">
        <v>61</v>
      </c>
      <c r="D49" s="3" t="s">
        <v>591</v>
      </c>
      <c r="E49" s="3" t="s">
        <v>46</v>
      </c>
      <c r="F49" s="1" t="s">
        <v>51</v>
      </c>
      <c r="G49" s="6">
        <v>45500.0</v>
      </c>
      <c r="H49" s="7">
        <v>45015.0</v>
      </c>
      <c r="I49" s="3" t="s">
        <v>59</v>
      </c>
      <c r="J49" s="3" t="s">
        <v>592</v>
      </c>
      <c r="K49" s="3" t="s">
        <v>316</v>
      </c>
      <c r="L49" s="3" t="s">
        <v>72</v>
      </c>
      <c r="M49" s="4" t="str">
        <f>VLOOKUP(C49,Apoio!A:B,2,0)</f>
        <v>11-50</v>
      </c>
    </row>
    <row r="50">
      <c r="A50" s="22" t="s">
        <v>594</v>
      </c>
      <c r="B50" s="3" t="s">
        <v>59</v>
      </c>
      <c r="C50" s="3" t="s">
        <v>61</v>
      </c>
      <c r="D50" s="3" t="s">
        <v>596</v>
      </c>
      <c r="E50" s="3" t="s">
        <v>46</v>
      </c>
      <c r="F50" s="1" t="s">
        <v>51</v>
      </c>
      <c r="G50" s="6">
        <v>47551.0</v>
      </c>
      <c r="H50" s="7">
        <v>45363.0</v>
      </c>
      <c r="I50" s="3" t="s">
        <v>59</v>
      </c>
      <c r="J50" s="3" t="s">
        <v>592</v>
      </c>
      <c r="K50" s="3" t="s">
        <v>316</v>
      </c>
      <c r="L50" s="3" t="s">
        <v>72</v>
      </c>
      <c r="M50" s="4" t="str">
        <f>VLOOKUP(C50,Apoio!A:B,2,0)</f>
        <v>11-50</v>
      </c>
    </row>
    <row r="51">
      <c r="A51" s="3" t="s">
        <v>599</v>
      </c>
      <c r="B51" s="3" t="s">
        <v>289</v>
      </c>
      <c r="C51" s="3" t="s">
        <v>109</v>
      </c>
      <c r="D51" s="3" t="s">
        <v>600</v>
      </c>
      <c r="E51" s="3" t="s">
        <v>46</v>
      </c>
      <c r="F51" s="1" t="s">
        <v>51</v>
      </c>
      <c r="G51" s="6">
        <v>43012.0</v>
      </c>
      <c r="H51" s="7">
        <v>44312.0</v>
      </c>
      <c r="I51" s="3" t="s">
        <v>84</v>
      </c>
      <c r="J51" s="3" t="s">
        <v>601</v>
      </c>
      <c r="K51" s="3" t="s">
        <v>602</v>
      </c>
      <c r="L51" s="3" t="s">
        <v>72</v>
      </c>
      <c r="M51" s="4" t="str">
        <f>VLOOKUP(C51,Apoio!A:B,2,0)</f>
        <v>101-250</v>
      </c>
    </row>
    <row r="52">
      <c r="A52" s="3" t="s">
        <v>603</v>
      </c>
      <c r="B52" s="3" t="s">
        <v>76</v>
      </c>
      <c r="C52" s="3" t="s">
        <v>61</v>
      </c>
      <c r="D52" s="3" t="s">
        <v>604</v>
      </c>
      <c r="E52" s="3" t="s">
        <v>46</v>
      </c>
      <c r="F52" s="1" t="s">
        <v>51</v>
      </c>
      <c r="G52" s="6">
        <v>45019.0</v>
      </c>
      <c r="H52" s="7">
        <v>43229.0</v>
      </c>
      <c r="I52" s="3" t="s">
        <v>84</v>
      </c>
      <c r="J52" s="3" t="s">
        <v>576</v>
      </c>
      <c r="K52" s="3" t="s">
        <v>602</v>
      </c>
      <c r="L52" s="3" t="s">
        <v>72</v>
      </c>
      <c r="M52" s="4" t="str">
        <f>VLOOKUP(C52,Apoio!A:B,2,0)</f>
        <v>11-50</v>
      </c>
    </row>
    <row r="53">
      <c r="A53" s="3" t="s">
        <v>607</v>
      </c>
      <c r="B53" s="3" t="s">
        <v>76</v>
      </c>
      <c r="C53" s="3" t="s">
        <v>109</v>
      </c>
      <c r="D53" s="3" t="s">
        <v>541</v>
      </c>
      <c r="E53" s="3" t="s">
        <v>46</v>
      </c>
      <c r="F53" s="1" t="s">
        <v>51</v>
      </c>
      <c r="G53" s="6">
        <v>45047.0</v>
      </c>
      <c r="H53" s="7">
        <v>45385.0</v>
      </c>
      <c r="I53" s="3" t="s">
        <v>84</v>
      </c>
      <c r="J53" s="3" t="s">
        <v>608</v>
      </c>
      <c r="K53" s="3" t="s">
        <v>609</v>
      </c>
      <c r="L53" s="3" t="s">
        <v>72</v>
      </c>
      <c r="M53" s="4" t="str">
        <f>VLOOKUP(C53,Apoio!A:B,2,0)</f>
        <v>101-250</v>
      </c>
    </row>
    <row r="54">
      <c r="A54" s="3" t="s">
        <v>610</v>
      </c>
      <c r="B54" s="3" t="s">
        <v>59</v>
      </c>
      <c r="C54" s="3" t="s">
        <v>61</v>
      </c>
      <c r="D54" s="3" t="s">
        <v>611</v>
      </c>
      <c r="E54" s="3" t="s">
        <v>612</v>
      </c>
      <c r="F54" s="1" t="s">
        <v>51</v>
      </c>
      <c r="G54" s="6">
        <v>46836.0</v>
      </c>
      <c r="H54" s="7">
        <v>44944.0</v>
      </c>
      <c r="I54" s="3" t="s">
        <v>59</v>
      </c>
      <c r="J54" s="3" t="s">
        <v>446</v>
      </c>
      <c r="K54" s="3" t="s">
        <v>613</v>
      </c>
      <c r="L54" s="3" t="s">
        <v>72</v>
      </c>
      <c r="M54" s="4" t="str">
        <f>VLOOKUP(C54,Apoio!A:B,2,0)</f>
        <v>11-50</v>
      </c>
    </row>
    <row r="55">
      <c r="A55" s="3" t="s">
        <v>617</v>
      </c>
      <c r="B55" s="3" t="s">
        <v>59</v>
      </c>
      <c r="C55" s="3" t="s">
        <v>61</v>
      </c>
      <c r="D55" s="3" t="s">
        <v>618</v>
      </c>
      <c r="E55" s="3" t="s">
        <v>261</v>
      </c>
      <c r="F55" s="1" t="s">
        <v>51</v>
      </c>
      <c r="G55" s="6">
        <v>42933.0</v>
      </c>
      <c r="H55" s="7">
        <v>45740.0</v>
      </c>
      <c r="I55" s="3" t="s">
        <v>59</v>
      </c>
      <c r="J55" s="3" t="s">
        <v>619</v>
      </c>
      <c r="K55" s="3" t="s">
        <v>123</v>
      </c>
      <c r="L55" s="3" t="s">
        <v>172</v>
      </c>
      <c r="M55" s="4" t="str">
        <f>VLOOKUP(C55,Apoio!A:B,2,0)</f>
        <v>11-50</v>
      </c>
    </row>
    <row r="56">
      <c r="A56" s="3" t="s">
        <v>621</v>
      </c>
      <c r="B56" s="3" t="s">
        <v>76</v>
      </c>
      <c r="C56" s="3" t="s">
        <v>78</v>
      </c>
      <c r="D56" s="3" t="s">
        <v>622</v>
      </c>
      <c r="E56" s="3" t="s">
        <v>46</v>
      </c>
      <c r="F56" s="1" t="s">
        <v>51</v>
      </c>
      <c r="G56" s="6">
        <v>43797.0</v>
      </c>
      <c r="H56" s="7">
        <v>44364.0</v>
      </c>
      <c r="I56" s="3" t="s">
        <v>84</v>
      </c>
      <c r="J56" s="3" t="s">
        <v>625</v>
      </c>
      <c r="K56" s="3" t="s">
        <v>626</v>
      </c>
      <c r="L56" s="3" t="s">
        <v>72</v>
      </c>
      <c r="M56" s="4" t="str">
        <f>VLOOKUP(C56,Apoio!A:B,2,0)</f>
        <v>51-100</v>
      </c>
    </row>
    <row r="57">
      <c r="A57" s="3" t="s">
        <v>628</v>
      </c>
      <c r="B57" s="3" t="s">
        <v>38</v>
      </c>
      <c r="C57" s="3" t="s">
        <v>41</v>
      </c>
      <c r="D57" s="3" t="s">
        <v>629</v>
      </c>
      <c r="E57" s="3" t="s">
        <v>630</v>
      </c>
      <c r="F57" s="1" t="s">
        <v>51</v>
      </c>
      <c r="G57" s="6">
        <v>44820.0</v>
      </c>
      <c r="H57" s="14">
        <v>43069.0</v>
      </c>
      <c r="I57" s="3" t="s">
        <v>68</v>
      </c>
      <c r="J57" s="3" t="s">
        <v>631</v>
      </c>
      <c r="K57" s="3" t="s">
        <v>632</v>
      </c>
      <c r="L57" s="3" t="s">
        <v>72</v>
      </c>
      <c r="M57" s="4" t="str">
        <f>VLOOKUP(C57,Apoio!A:B,2,0)</f>
        <v>251-500</v>
      </c>
    </row>
    <row r="58">
      <c r="A58" s="3" t="s">
        <v>634</v>
      </c>
      <c r="B58" s="3" t="s">
        <v>76</v>
      </c>
      <c r="C58" s="3" t="s">
        <v>78</v>
      </c>
      <c r="D58" s="3" t="s">
        <v>635</v>
      </c>
      <c r="E58" s="3" t="s">
        <v>46</v>
      </c>
      <c r="F58" s="1" t="s">
        <v>51</v>
      </c>
      <c r="G58" s="6">
        <v>46709.0</v>
      </c>
      <c r="H58" s="7">
        <v>45825.0</v>
      </c>
      <c r="I58" s="3" t="s">
        <v>84</v>
      </c>
      <c r="J58" s="3" t="s">
        <v>637</v>
      </c>
      <c r="K58" s="3" t="s">
        <v>638</v>
      </c>
      <c r="L58" s="3" t="s">
        <v>172</v>
      </c>
      <c r="M58" s="4" t="str">
        <f>VLOOKUP(C58,Apoio!A:B,2,0)</f>
        <v>51-100</v>
      </c>
    </row>
    <row r="59">
      <c r="A59" s="3" t="s">
        <v>639</v>
      </c>
      <c r="B59" s="3" t="s">
        <v>38</v>
      </c>
      <c r="C59" s="3" t="s">
        <v>78</v>
      </c>
      <c r="D59" s="3" t="s">
        <v>640</v>
      </c>
      <c r="E59" s="3" t="s">
        <v>46</v>
      </c>
      <c r="F59" s="1" t="s">
        <v>51</v>
      </c>
      <c r="G59" s="6">
        <v>48100.0</v>
      </c>
      <c r="H59" s="7">
        <v>44622.0</v>
      </c>
      <c r="I59" s="3" t="s">
        <v>68</v>
      </c>
      <c r="J59" s="3" t="s">
        <v>641</v>
      </c>
      <c r="K59" s="3" t="s">
        <v>642</v>
      </c>
      <c r="L59" s="3" t="s">
        <v>72</v>
      </c>
      <c r="M59" s="4" t="str">
        <f>VLOOKUP(C59,Apoio!A:B,2,0)</f>
        <v>51-100</v>
      </c>
    </row>
    <row r="60">
      <c r="A60" s="3" t="s">
        <v>643</v>
      </c>
      <c r="B60" s="3" t="s">
        <v>59</v>
      </c>
      <c r="C60" s="3" t="s">
        <v>61</v>
      </c>
      <c r="D60" s="3" t="s">
        <v>644</v>
      </c>
      <c r="E60" s="3" t="s">
        <v>46</v>
      </c>
      <c r="F60" s="1" t="s">
        <v>51</v>
      </c>
      <c r="G60" s="6">
        <v>46042.0</v>
      </c>
      <c r="H60" s="7">
        <v>45020.0</v>
      </c>
      <c r="I60" s="3" t="s">
        <v>59</v>
      </c>
      <c r="J60" s="3" t="s">
        <v>153</v>
      </c>
      <c r="K60" s="3" t="s">
        <v>154</v>
      </c>
      <c r="L60" s="3" t="s">
        <v>72</v>
      </c>
      <c r="M60" s="4" t="str">
        <f>VLOOKUP(C60,Apoio!A:B,2,0)</f>
        <v>11-50</v>
      </c>
    </row>
    <row r="61">
      <c r="A61" s="3" t="s">
        <v>646</v>
      </c>
      <c r="B61" s="3" t="s">
        <v>38</v>
      </c>
      <c r="C61" s="3" t="s">
        <v>61</v>
      </c>
      <c r="D61" s="3" t="s">
        <v>647</v>
      </c>
      <c r="E61" s="3" t="s">
        <v>46</v>
      </c>
      <c r="F61" s="1" t="s">
        <v>51</v>
      </c>
      <c r="G61" s="6">
        <v>42736.0</v>
      </c>
      <c r="H61" s="7">
        <v>44616.0</v>
      </c>
      <c r="I61" s="3" t="s">
        <v>68</v>
      </c>
      <c r="J61" s="3" t="s">
        <v>648</v>
      </c>
      <c r="K61" s="3" t="s">
        <v>649</v>
      </c>
      <c r="L61" s="3" t="s">
        <v>72</v>
      </c>
      <c r="M61" s="4" t="str">
        <f>VLOOKUP(C61,Apoio!A:B,2,0)</f>
        <v>11-50</v>
      </c>
    </row>
    <row r="62">
      <c r="A62" s="3" t="s">
        <v>653</v>
      </c>
      <c r="B62" s="3" t="s">
        <v>59</v>
      </c>
      <c r="C62" s="3" t="s">
        <v>78</v>
      </c>
      <c r="D62" s="3" t="s">
        <v>472</v>
      </c>
      <c r="E62" s="3" t="s">
        <v>46</v>
      </c>
      <c r="F62" s="1" t="s">
        <v>51</v>
      </c>
      <c r="G62" s="6">
        <v>47600.0</v>
      </c>
      <c r="H62" s="14">
        <v>45254.0</v>
      </c>
      <c r="I62" s="3" t="s">
        <v>59</v>
      </c>
      <c r="J62" s="3" t="s">
        <v>655</v>
      </c>
      <c r="K62" s="3" t="s">
        <v>649</v>
      </c>
      <c r="L62" s="3" t="s">
        <v>172</v>
      </c>
      <c r="M62" s="4" t="str">
        <f>VLOOKUP(C62,Apoio!A:B,2,0)</f>
        <v>51-100</v>
      </c>
    </row>
    <row r="63">
      <c r="A63" s="3" t="s">
        <v>656</v>
      </c>
      <c r="B63" s="3" t="s">
        <v>59</v>
      </c>
      <c r="C63" s="3" t="s">
        <v>109</v>
      </c>
      <c r="D63" s="3" t="s">
        <v>657</v>
      </c>
      <c r="E63" s="3" t="s">
        <v>658</v>
      </c>
      <c r="F63" s="1" t="s">
        <v>51</v>
      </c>
      <c r="G63" s="10">
        <v>100.056</v>
      </c>
      <c r="H63" s="7">
        <v>45467.0</v>
      </c>
      <c r="I63" s="3" t="s">
        <v>59</v>
      </c>
      <c r="J63" s="3" t="s">
        <v>659</v>
      </c>
      <c r="K63" s="3" t="s">
        <v>660</v>
      </c>
      <c r="L63" s="3" t="s">
        <v>72</v>
      </c>
      <c r="M63" s="4" t="str">
        <f>VLOOKUP(C63,Apoio!A:B,2,0)</f>
        <v>101-250</v>
      </c>
    </row>
    <row r="64">
      <c r="A64" s="3" t="s">
        <v>662</v>
      </c>
      <c r="B64" s="3" t="s">
        <v>38</v>
      </c>
      <c r="C64" s="3" t="s">
        <v>78</v>
      </c>
      <c r="D64" s="3" t="s">
        <v>664</v>
      </c>
      <c r="E64" s="3" t="s">
        <v>46</v>
      </c>
      <c r="F64" s="1" t="s">
        <v>51</v>
      </c>
      <c r="G64" s="10">
        <v>34.092</v>
      </c>
      <c r="H64" s="7">
        <v>45632.0</v>
      </c>
      <c r="I64" s="3" t="s">
        <v>68</v>
      </c>
      <c r="J64" s="3" t="s">
        <v>665</v>
      </c>
      <c r="K64" s="3" t="s">
        <v>660</v>
      </c>
      <c r="L64" s="3" t="s">
        <v>172</v>
      </c>
      <c r="M64" s="4" t="str">
        <f>VLOOKUP(C64,Apoio!A:B,2,0)</f>
        <v>51-100</v>
      </c>
    </row>
    <row r="65">
      <c r="A65" s="3" t="s">
        <v>668</v>
      </c>
      <c r="B65" s="3" t="s">
        <v>76</v>
      </c>
      <c r="C65" s="3" t="s">
        <v>61</v>
      </c>
      <c r="D65" s="3" t="s">
        <v>669</v>
      </c>
      <c r="E65" s="3" t="s">
        <v>46</v>
      </c>
      <c r="F65" s="1" t="s">
        <v>51</v>
      </c>
      <c r="G65" s="10">
        <v>40.366</v>
      </c>
      <c r="H65" s="14">
        <v>45981.0</v>
      </c>
      <c r="I65" s="3" t="s">
        <v>670</v>
      </c>
      <c r="J65" s="3" t="s">
        <v>671</v>
      </c>
      <c r="K65" s="3" t="s">
        <v>660</v>
      </c>
      <c r="L65" s="3" t="s">
        <v>672</v>
      </c>
      <c r="M65" s="4" t="str">
        <f>VLOOKUP(C65,Apoio!A:B,2,0)</f>
        <v>11-50</v>
      </c>
    </row>
    <row r="66">
      <c r="A66" s="3" t="s">
        <v>673</v>
      </c>
      <c r="B66" s="3" t="s">
        <v>59</v>
      </c>
      <c r="C66" s="3" t="s">
        <v>78</v>
      </c>
      <c r="D66" s="3" t="s">
        <v>674</v>
      </c>
      <c r="E66" s="3" t="s">
        <v>675</v>
      </c>
      <c r="F66" s="8" t="s">
        <v>52</v>
      </c>
      <c r="G66" s="10">
        <v>48.441</v>
      </c>
      <c r="H66" s="7">
        <v>45352.0</v>
      </c>
      <c r="I66" s="3" t="s">
        <v>59</v>
      </c>
      <c r="J66" s="3" t="s">
        <v>676</v>
      </c>
      <c r="K66" s="3" t="s">
        <v>660</v>
      </c>
      <c r="L66" s="3" t="s">
        <v>672</v>
      </c>
      <c r="M66" s="4" t="str">
        <f>VLOOKUP(C66,Apoio!A:B,2,0)</f>
        <v>51-100</v>
      </c>
    </row>
    <row r="67">
      <c r="A67" s="3" t="s">
        <v>677</v>
      </c>
      <c r="B67" s="3" t="s">
        <v>59</v>
      </c>
      <c r="C67" s="3" t="s">
        <v>78</v>
      </c>
      <c r="D67" s="3" t="s">
        <v>679</v>
      </c>
      <c r="E67" s="3" t="s">
        <v>680</v>
      </c>
      <c r="F67" s="8" t="s">
        <v>52</v>
      </c>
      <c r="G67" s="10">
        <v>50.612</v>
      </c>
      <c r="H67" s="7">
        <v>44197.0</v>
      </c>
      <c r="I67" s="3" t="s">
        <v>59</v>
      </c>
      <c r="J67" s="3" t="s">
        <v>660</v>
      </c>
      <c r="K67" s="3" t="s">
        <v>660</v>
      </c>
      <c r="L67" s="3" t="s">
        <v>672</v>
      </c>
      <c r="M67" s="4" t="str">
        <f>VLOOKUP(C67,Apoio!A:B,2,0)</f>
        <v>51-100</v>
      </c>
    </row>
    <row r="68">
      <c r="A68" s="3" t="s">
        <v>684</v>
      </c>
      <c r="B68" s="3" t="s">
        <v>685</v>
      </c>
      <c r="C68" s="3" t="s">
        <v>321</v>
      </c>
      <c r="D68" s="3" t="s">
        <v>686</v>
      </c>
      <c r="E68" s="3" t="s">
        <v>46</v>
      </c>
      <c r="F68" s="1" t="s">
        <v>51</v>
      </c>
      <c r="G68" s="10">
        <v>23.836</v>
      </c>
      <c r="H68" s="7">
        <v>45715.0</v>
      </c>
      <c r="I68" s="3" t="s">
        <v>167</v>
      </c>
      <c r="J68" s="3" t="s">
        <v>687</v>
      </c>
      <c r="K68" s="3" t="s">
        <v>688</v>
      </c>
      <c r="L68" s="3" t="s">
        <v>672</v>
      </c>
      <c r="M68" s="4" t="str">
        <f>VLOOKUP(C68,Apoio!A:B,2,0)</f>
        <v>10k+</v>
      </c>
    </row>
    <row r="69">
      <c r="A69" s="3" t="s">
        <v>689</v>
      </c>
      <c r="B69" s="3" t="s">
        <v>59</v>
      </c>
      <c r="C69" s="3" t="s">
        <v>61</v>
      </c>
      <c r="D69" s="3" t="s">
        <v>690</v>
      </c>
      <c r="E69" s="3" t="s">
        <v>66</v>
      </c>
      <c r="F69" s="8" t="s">
        <v>52</v>
      </c>
      <c r="G69" s="10">
        <v>146.892</v>
      </c>
      <c r="H69" s="7">
        <v>44501.0</v>
      </c>
      <c r="I69" s="3" t="s">
        <v>59</v>
      </c>
      <c r="J69" s="3" t="s">
        <v>691</v>
      </c>
      <c r="K69" s="3" t="s">
        <v>692</v>
      </c>
      <c r="L69" s="3" t="s">
        <v>72</v>
      </c>
      <c r="M69" s="4" t="str">
        <f>VLOOKUP(C69,Apoio!A:B,2,0)</f>
        <v>11-50</v>
      </c>
    </row>
    <row r="70">
      <c r="A70" s="3" t="s">
        <v>693</v>
      </c>
      <c r="B70" s="3" t="s">
        <v>38</v>
      </c>
      <c r="C70" s="3" t="s">
        <v>61</v>
      </c>
      <c r="D70" s="3" t="s">
        <v>694</v>
      </c>
      <c r="E70" s="3" t="s">
        <v>188</v>
      </c>
      <c r="F70" s="1" t="s">
        <v>51</v>
      </c>
      <c r="G70" s="10">
        <v>25.686</v>
      </c>
      <c r="H70" s="7">
        <v>45355.0</v>
      </c>
      <c r="I70" s="3" t="s">
        <v>68</v>
      </c>
      <c r="J70" s="3" t="s">
        <v>695</v>
      </c>
      <c r="K70" s="3" t="s">
        <v>695</v>
      </c>
      <c r="L70" s="3" t="s">
        <v>672</v>
      </c>
      <c r="M70" s="4" t="str">
        <f>VLOOKUP(C70,Apoio!A:B,2,0)</f>
        <v>11-50</v>
      </c>
    </row>
    <row r="71">
      <c r="A71" s="3" t="s">
        <v>697</v>
      </c>
      <c r="B71" s="3" t="s">
        <v>59</v>
      </c>
      <c r="C71" s="3" t="s">
        <v>61</v>
      </c>
      <c r="D71" s="3" t="s">
        <v>698</v>
      </c>
      <c r="E71" s="3" t="s">
        <v>171</v>
      </c>
      <c r="F71" s="8" t="s">
        <v>52</v>
      </c>
      <c r="G71" s="10">
        <v>127.796</v>
      </c>
      <c r="H71" s="7">
        <v>44078.0</v>
      </c>
      <c r="I71" s="3" t="s">
        <v>59</v>
      </c>
      <c r="J71" s="3" t="s">
        <v>699</v>
      </c>
      <c r="K71" s="3" t="s">
        <v>699</v>
      </c>
      <c r="L71" s="3" t="s">
        <v>72</v>
      </c>
      <c r="M71" s="4" t="str">
        <f>VLOOKUP(C71,Apoio!A:B,2,0)</f>
        <v>11-50</v>
      </c>
    </row>
    <row r="72">
      <c r="A72" s="3" t="s">
        <v>700</v>
      </c>
      <c r="B72" s="3" t="s">
        <v>59</v>
      </c>
      <c r="C72" s="3" t="s">
        <v>61</v>
      </c>
      <c r="D72" s="3" t="s">
        <v>701</v>
      </c>
      <c r="E72" s="3" t="s">
        <v>46</v>
      </c>
      <c r="F72" s="1" t="s">
        <v>51</v>
      </c>
      <c r="G72" s="10">
        <v>8.439</v>
      </c>
      <c r="H72" s="7">
        <v>44754.0</v>
      </c>
      <c r="I72" s="3" t="s">
        <v>59</v>
      </c>
      <c r="J72" s="3" t="s">
        <v>702</v>
      </c>
      <c r="K72" s="3" t="s">
        <v>703</v>
      </c>
      <c r="L72" s="3" t="s">
        <v>672</v>
      </c>
      <c r="M72" s="4" t="str">
        <f>VLOOKUP(C72,Apoio!A:B,2,0)</f>
        <v>11-50</v>
      </c>
    </row>
    <row r="73">
      <c r="A73" s="3" t="s">
        <v>704</v>
      </c>
      <c r="B73" s="3" t="s">
        <v>38</v>
      </c>
      <c r="C73" s="3" t="s">
        <v>61</v>
      </c>
      <c r="D73" s="3" t="s">
        <v>705</v>
      </c>
      <c r="E73" s="3" t="s">
        <v>66</v>
      </c>
      <c r="F73" s="8" t="s">
        <v>52</v>
      </c>
      <c r="G73" s="10">
        <v>668.559</v>
      </c>
      <c r="H73" s="7">
        <v>39814.0</v>
      </c>
      <c r="I73" s="3" t="s">
        <v>68</v>
      </c>
      <c r="J73" s="3" t="s">
        <v>703</v>
      </c>
      <c r="K73" s="3" t="s">
        <v>703</v>
      </c>
      <c r="L73" s="3" t="s">
        <v>672</v>
      </c>
      <c r="M73" s="4" t="str">
        <f>VLOOKUP(C73,Apoio!A:B,2,0)</f>
        <v>11-50</v>
      </c>
    </row>
    <row r="74">
      <c r="A74" s="3" t="s">
        <v>707</v>
      </c>
      <c r="B74" s="3" t="s">
        <v>59</v>
      </c>
      <c r="C74" s="3" t="s">
        <v>61</v>
      </c>
      <c r="D74" s="3" t="s">
        <v>708</v>
      </c>
      <c r="E74" s="3" t="s">
        <v>710</v>
      </c>
      <c r="F74" s="8" t="s">
        <v>52</v>
      </c>
      <c r="G74" s="10">
        <v>77.37</v>
      </c>
      <c r="H74" s="7">
        <v>44587.0</v>
      </c>
      <c r="I74" s="3" t="s">
        <v>59</v>
      </c>
      <c r="J74" s="3" t="s">
        <v>711</v>
      </c>
      <c r="K74" s="3" t="s">
        <v>712</v>
      </c>
      <c r="L74" s="3" t="s">
        <v>72</v>
      </c>
      <c r="M74" s="4" t="str">
        <f>VLOOKUP(C74,Apoio!A:B,2,0)</f>
        <v>11-50</v>
      </c>
    </row>
    <row r="75">
      <c r="A75" s="3" t="s">
        <v>713</v>
      </c>
      <c r="B75" s="3" t="s">
        <v>59</v>
      </c>
      <c r="C75" s="3" t="s">
        <v>61</v>
      </c>
      <c r="D75" s="3" t="s">
        <v>714</v>
      </c>
      <c r="E75" s="3" t="s">
        <v>715</v>
      </c>
      <c r="F75" s="8" t="s">
        <v>52</v>
      </c>
      <c r="G75" s="10">
        <v>81.811</v>
      </c>
      <c r="H75" s="14">
        <v>45954.0</v>
      </c>
      <c r="I75" s="3" t="s">
        <v>59</v>
      </c>
      <c r="J75" s="3" t="s">
        <v>716</v>
      </c>
      <c r="K75" s="3" t="s">
        <v>716</v>
      </c>
      <c r="L75" s="3" t="s">
        <v>172</v>
      </c>
      <c r="M75" s="4" t="str">
        <f>VLOOKUP(C75,Apoio!A:B,2,0)</f>
        <v>11-50</v>
      </c>
    </row>
    <row r="76">
      <c r="A76" s="3" t="s">
        <v>717</v>
      </c>
      <c r="B76" s="3" t="s">
        <v>59</v>
      </c>
      <c r="C76" s="3" t="s">
        <v>61</v>
      </c>
      <c r="D76" s="3" t="s">
        <v>718</v>
      </c>
      <c r="E76" s="3" t="s">
        <v>66</v>
      </c>
      <c r="F76" s="8" t="s">
        <v>52</v>
      </c>
      <c r="G76" s="10">
        <v>45.366</v>
      </c>
      <c r="H76" s="7">
        <v>45355.0</v>
      </c>
      <c r="I76" s="3" t="s">
        <v>59</v>
      </c>
      <c r="J76" s="3" t="s">
        <v>721</v>
      </c>
      <c r="K76" s="3" t="s">
        <v>721</v>
      </c>
      <c r="L76" s="3" t="s">
        <v>72</v>
      </c>
      <c r="M76" s="4" t="str">
        <f>VLOOKUP(C76,Apoio!A:B,2,0)</f>
        <v>11-50</v>
      </c>
    </row>
    <row r="77">
      <c r="A77" s="3" t="s">
        <v>723</v>
      </c>
      <c r="B77" s="3" t="s">
        <v>289</v>
      </c>
      <c r="C77" s="3" t="s">
        <v>109</v>
      </c>
      <c r="D77" s="3" t="s">
        <v>724</v>
      </c>
      <c r="E77" s="3" t="s">
        <v>46</v>
      </c>
      <c r="F77" s="1" t="s">
        <v>51</v>
      </c>
      <c r="G77" s="10">
        <v>12.126</v>
      </c>
      <c r="H77" s="14">
        <v>45643.0</v>
      </c>
      <c r="I77" s="3" t="s">
        <v>670</v>
      </c>
      <c r="J77" s="3" t="s">
        <v>725</v>
      </c>
      <c r="K77" s="3" t="s">
        <v>726</v>
      </c>
      <c r="L77" s="3" t="s">
        <v>172</v>
      </c>
      <c r="M77" s="4" t="str">
        <f>VLOOKUP(C77,Apoio!A:B,2,0)</f>
        <v>101-250</v>
      </c>
    </row>
    <row r="78">
      <c r="A78" s="3" t="s">
        <v>727</v>
      </c>
      <c r="B78" s="3" t="s">
        <v>76</v>
      </c>
      <c r="C78" s="3" t="s">
        <v>41</v>
      </c>
      <c r="D78" s="3" t="s">
        <v>728</v>
      </c>
      <c r="E78" s="3" t="s">
        <v>46</v>
      </c>
      <c r="F78" s="1" t="s">
        <v>51</v>
      </c>
      <c r="G78" s="10">
        <v>13.79</v>
      </c>
      <c r="H78" s="14">
        <v>45988.0</v>
      </c>
      <c r="I78" s="3" t="s">
        <v>670</v>
      </c>
      <c r="J78" s="3" t="s">
        <v>729</v>
      </c>
      <c r="K78" s="3" t="s">
        <v>726</v>
      </c>
      <c r="L78" s="3" t="s">
        <v>172</v>
      </c>
      <c r="M78" s="4" t="str">
        <f>VLOOKUP(C78,Apoio!A:B,2,0)</f>
        <v>251-500</v>
      </c>
    </row>
    <row r="79">
      <c r="A79" s="3" t="s">
        <v>732</v>
      </c>
      <c r="B79" s="3" t="s">
        <v>391</v>
      </c>
      <c r="C79" s="3" t="s">
        <v>346</v>
      </c>
      <c r="D79" s="3" t="s">
        <v>735</v>
      </c>
      <c r="E79" s="3" t="s">
        <v>46</v>
      </c>
      <c r="F79" s="1" t="s">
        <v>51</v>
      </c>
      <c r="G79" s="10">
        <v>24.281</v>
      </c>
      <c r="H79" s="7">
        <v>45153.0</v>
      </c>
      <c r="I79" s="3" t="s">
        <v>736</v>
      </c>
      <c r="J79" s="3" t="s">
        <v>737</v>
      </c>
      <c r="K79" s="3" t="s">
        <v>726</v>
      </c>
      <c r="L79" s="3" t="s">
        <v>72</v>
      </c>
      <c r="M79" s="4" t="str">
        <f>VLOOKUP(C79,Apoio!A:B,2,0)</f>
        <v>1k-5k</v>
      </c>
    </row>
    <row r="80">
      <c r="A80" s="3" t="s">
        <v>738</v>
      </c>
      <c r="B80" s="3" t="s">
        <v>38</v>
      </c>
      <c r="C80" s="3" t="s">
        <v>109</v>
      </c>
      <c r="D80" s="3" t="s">
        <v>739</v>
      </c>
      <c r="E80" s="3" t="s">
        <v>46</v>
      </c>
      <c r="F80" s="1" t="s">
        <v>51</v>
      </c>
      <c r="G80" s="10">
        <v>32.044</v>
      </c>
      <c r="H80" s="7">
        <v>45316.0</v>
      </c>
      <c r="I80" s="3" t="s">
        <v>68</v>
      </c>
      <c r="J80" s="3" t="s">
        <v>740</v>
      </c>
      <c r="K80" s="3" t="s">
        <v>726</v>
      </c>
      <c r="L80" s="3" t="s">
        <v>72</v>
      </c>
      <c r="M80" s="4" t="str">
        <f>VLOOKUP(C80,Apoio!A:B,2,0)</f>
        <v>101-250</v>
      </c>
    </row>
    <row r="81">
      <c r="A81" s="3" t="s">
        <v>742</v>
      </c>
      <c r="B81" s="3" t="s">
        <v>38</v>
      </c>
      <c r="C81" s="3" t="s">
        <v>41</v>
      </c>
      <c r="D81" s="3" t="s">
        <v>743</v>
      </c>
      <c r="E81" s="3" t="s">
        <v>171</v>
      </c>
      <c r="F81" s="8" t="s">
        <v>52</v>
      </c>
      <c r="G81" s="3" t="s">
        <v>744</v>
      </c>
      <c r="H81" s="7">
        <v>36766.0</v>
      </c>
      <c r="I81" s="3" t="s">
        <v>68</v>
      </c>
      <c r="J81" s="3" t="s">
        <v>726</v>
      </c>
      <c r="K81" s="3" t="s">
        <v>726</v>
      </c>
      <c r="L81" s="3" t="s">
        <v>172</v>
      </c>
      <c r="M81" s="4" t="str">
        <f>VLOOKUP(C81,Apoio!A:B,2,0)</f>
        <v>251-500</v>
      </c>
    </row>
    <row r="82">
      <c r="A82" s="3" t="s">
        <v>746</v>
      </c>
      <c r="B82" s="3" t="s">
        <v>76</v>
      </c>
      <c r="C82" s="3" t="s">
        <v>78</v>
      </c>
      <c r="D82" s="3" t="s">
        <v>747</v>
      </c>
      <c r="E82" s="3" t="s">
        <v>46</v>
      </c>
      <c r="F82" s="1" t="s">
        <v>51</v>
      </c>
      <c r="G82" s="10">
        <v>2.657</v>
      </c>
      <c r="H82" s="7">
        <v>45909.0</v>
      </c>
      <c r="I82" s="3" t="s">
        <v>670</v>
      </c>
      <c r="J82" s="3" t="s">
        <v>748</v>
      </c>
      <c r="K82" s="3" t="s">
        <v>749</v>
      </c>
      <c r="L82" s="3" t="s">
        <v>672</v>
      </c>
      <c r="M82" s="4" t="str">
        <f>VLOOKUP(C82,Apoio!A:B,2,0)</f>
        <v>51-100</v>
      </c>
    </row>
    <row r="83">
      <c r="A83" s="3" t="s">
        <v>751</v>
      </c>
      <c r="B83" s="3" t="s">
        <v>752</v>
      </c>
      <c r="C83" s="3" t="s">
        <v>330</v>
      </c>
      <c r="D83" s="3" t="s">
        <v>754</v>
      </c>
      <c r="E83" s="3" t="s">
        <v>46</v>
      </c>
      <c r="F83" s="1" t="s">
        <v>51</v>
      </c>
      <c r="G83" s="10">
        <v>13.98</v>
      </c>
      <c r="H83" s="7">
        <v>44629.0</v>
      </c>
      <c r="I83" s="3" t="s">
        <v>736</v>
      </c>
      <c r="J83" s="3" t="s">
        <v>755</v>
      </c>
      <c r="K83" s="3" t="s">
        <v>756</v>
      </c>
      <c r="L83" s="3" t="s">
        <v>72</v>
      </c>
      <c r="M83" s="4" t="str">
        <f>VLOOKUP(C83,Apoio!A:B,2,0)</f>
        <v>501-1000</v>
      </c>
    </row>
    <row r="84">
      <c r="A84" s="3" t="s">
        <v>760</v>
      </c>
      <c r="B84" s="3" t="s">
        <v>685</v>
      </c>
      <c r="C84" s="3" t="s">
        <v>321</v>
      </c>
      <c r="D84" s="3" t="s">
        <v>686</v>
      </c>
      <c r="E84" s="3" t="s">
        <v>762</v>
      </c>
      <c r="F84" s="1" t="s">
        <v>51</v>
      </c>
      <c r="G84" s="10">
        <v>33.157</v>
      </c>
      <c r="H84" s="7">
        <v>45925.0</v>
      </c>
      <c r="I84" s="3" t="s">
        <v>364</v>
      </c>
      <c r="J84" s="3" t="s">
        <v>763</v>
      </c>
      <c r="K84" s="3" t="s">
        <v>756</v>
      </c>
      <c r="L84" s="3" t="s">
        <v>72</v>
      </c>
      <c r="M84" s="4" t="str">
        <f>VLOOKUP(C84,Apoio!A:B,2,0)</f>
        <v>10k+</v>
      </c>
    </row>
    <row r="85">
      <c r="A85" s="3" t="s">
        <v>764</v>
      </c>
      <c r="B85" s="3" t="s">
        <v>289</v>
      </c>
      <c r="C85" s="3" t="s">
        <v>197</v>
      </c>
      <c r="D85" s="3" t="s">
        <v>765</v>
      </c>
      <c r="E85" s="3" t="s">
        <v>46</v>
      </c>
      <c r="F85" s="1" t="s">
        <v>51</v>
      </c>
      <c r="G85" s="10">
        <v>15.997</v>
      </c>
      <c r="H85" s="14">
        <v>44488.0</v>
      </c>
      <c r="I85" s="3" t="s">
        <v>167</v>
      </c>
      <c r="J85" s="3" t="s">
        <v>766</v>
      </c>
      <c r="K85" s="3" t="s">
        <v>767</v>
      </c>
      <c r="L85" s="3" t="s">
        <v>72</v>
      </c>
      <c r="M85" s="4" t="str">
        <f>VLOOKUP(C85,Apoio!A:B,2,0)</f>
        <v>501-1000</v>
      </c>
    </row>
    <row r="86">
      <c r="A86" s="3" t="s">
        <v>768</v>
      </c>
      <c r="B86" s="3" t="s">
        <v>769</v>
      </c>
      <c r="C86" s="3" t="s">
        <v>346</v>
      </c>
      <c r="D86" s="3" t="s">
        <v>770</v>
      </c>
      <c r="E86" s="3" t="s">
        <v>46</v>
      </c>
      <c r="F86" s="1" t="s">
        <v>51</v>
      </c>
      <c r="G86" s="10">
        <v>17.009</v>
      </c>
      <c r="H86" s="7">
        <v>45992.0</v>
      </c>
      <c r="I86" s="3" t="s">
        <v>736</v>
      </c>
      <c r="J86" s="3" t="s">
        <v>772</v>
      </c>
      <c r="K86" s="3" t="s">
        <v>767</v>
      </c>
      <c r="L86" s="3" t="s">
        <v>172</v>
      </c>
      <c r="M86" s="4" t="str">
        <f>VLOOKUP(C86,Apoio!A:B,2,0)</f>
        <v>1k-5k</v>
      </c>
    </row>
    <row r="87">
      <c r="A87" s="3" t="s">
        <v>774</v>
      </c>
      <c r="B87" s="3" t="s">
        <v>59</v>
      </c>
      <c r="C87" s="3" t="s">
        <v>61</v>
      </c>
      <c r="D87" s="3" t="s">
        <v>775</v>
      </c>
      <c r="E87" s="3" t="s">
        <v>171</v>
      </c>
      <c r="F87" s="8" t="s">
        <v>52</v>
      </c>
      <c r="G87" s="10">
        <v>48.457</v>
      </c>
      <c r="H87" s="7">
        <v>45505.0</v>
      </c>
      <c r="I87" s="3" t="s">
        <v>59</v>
      </c>
      <c r="J87" s="3" t="s">
        <v>776</v>
      </c>
      <c r="K87" s="3" t="s">
        <v>776</v>
      </c>
      <c r="L87" s="3" t="s">
        <v>72</v>
      </c>
      <c r="M87" s="4" t="str">
        <f>VLOOKUP(C87,Apoio!A:B,2,0)</f>
        <v>11-50</v>
      </c>
    </row>
    <row r="88">
      <c r="A88" s="3" t="s">
        <v>777</v>
      </c>
      <c r="B88" s="3" t="s">
        <v>76</v>
      </c>
      <c r="C88" s="3" t="s">
        <v>78</v>
      </c>
      <c r="D88" s="3" t="s">
        <v>778</v>
      </c>
      <c r="E88" s="3" t="s">
        <v>46</v>
      </c>
      <c r="F88" s="1" t="s">
        <v>51</v>
      </c>
      <c r="G88" s="10">
        <v>24.504</v>
      </c>
      <c r="H88" s="7">
        <v>45925.0</v>
      </c>
      <c r="I88" s="3" t="s">
        <v>670</v>
      </c>
      <c r="J88" s="3" t="s">
        <v>781</v>
      </c>
      <c r="K88" s="3" t="s">
        <v>782</v>
      </c>
      <c r="L88" s="3" t="s">
        <v>672</v>
      </c>
      <c r="M88" s="4" t="str">
        <f>VLOOKUP(C88,Apoio!A:B,2,0)</f>
        <v>51-100</v>
      </c>
    </row>
    <row r="89">
      <c r="A89" s="3" t="s">
        <v>777</v>
      </c>
      <c r="B89" s="3" t="s">
        <v>76</v>
      </c>
      <c r="C89" s="3" t="s">
        <v>78</v>
      </c>
      <c r="D89" s="3" t="s">
        <v>778</v>
      </c>
      <c r="E89" s="3" t="s">
        <v>46</v>
      </c>
      <c r="F89" s="1" t="s">
        <v>51</v>
      </c>
      <c r="G89" s="10">
        <v>24.504</v>
      </c>
      <c r="H89" s="7">
        <v>45925.0</v>
      </c>
      <c r="I89" s="3" t="s">
        <v>670</v>
      </c>
      <c r="J89" s="3" t="s">
        <v>781</v>
      </c>
      <c r="K89" s="3" t="s">
        <v>782</v>
      </c>
      <c r="L89" s="3" t="s">
        <v>672</v>
      </c>
      <c r="M89" s="4" t="str">
        <f>VLOOKUP(C89,Apoio!A:B,2,0)</f>
        <v>51-100</v>
      </c>
    </row>
    <row r="90">
      <c r="A90" s="3" t="s">
        <v>785</v>
      </c>
      <c r="B90" s="3" t="s">
        <v>76</v>
      </c>
      <c r="C90" s="3" t="s">
        <v>61</v>
      </c>
      <c r="D90" s="3" t="s">
        <v>786</v>
      </c>
      <c r="E90" s="3" t="s">
        <v>710</v>
      </c>
      <c r="F90" s="8" t="s">
        <v>52</v>
      </c>
      <c r="G90" s="10">
        <v>21.012</v>
      </c>
      <c r="H90" s="7">
        <v>45916.0</v>
      </c>
      <c r="I90" s="3" t="s">
        <v>670</v>
      </c>
      <c r="J90" s="3" t="s">
        <v>789</v>
      </c>
      <c r="K90" s="3" t="s">
        <v>782</v>
      </c>
      <c r="L90" s="3" t="s">
        <v>672</v>
      </c>
      <c r="M90" s="4" t="str">
        <f>VLOOKUP(C90,Apoio!A:B,2,0)</f>
        <v>11-50</v>
      </c>
    </row>
    <row r="91">
      <c r="A91" s="3" t="s">
        <v>792</v>
      </c>
      <c r="B91" s="3" t="s">
        <v>76</v>
      </c>
      <c r="C91" s="3" t="s">
        <v>78</v>
      </c>
      <c r="D91" s="3" t="s">
        <v>793</v>
      </c>
      <c r="E91" s="3" t="s">
        <v>171</v>
      </c>
      <c r="F91" s="8" t="s">
        <v>52</v>
      </c>
      <c r="G91" s="10">
        <v>33.102</v>
      </c>
      <c r="H91" s="14">
        <v>44529.0</v>
      </c>
      <c r="I91" s="3" t="s">
        <v>670</v>
      </c>
      <c r="J91" s="3" t="s">
        <v>794</v>
      </c>
      <c r="K91" s="3" t="s">
        <v>782</v>
      </c>
      <c r="L91" s="3" t="s">
        <v>72</v>
      </c>
      <c r="M91" s="4" t="str">
        <f>VLOOKUP(C91,Apoio!A:B,2,0)</f>
        <v>51-100</v>
      </c>
    </row>
    <row r="92">
      <c r="A92" s="3" t="s">
        <v>795</v>
      </c>
      <c r="B92" s="3" t="s">
        <v>289</v>
      </c>
      <c r="C92" s="3" t="s">
        <v>61</v>
      </c>
      <c r="D92" s="3" t="s">
        <v>796</v>
      </c>
      <c r="E92" s="3" t="s">
        <v>66</v>
      </c>
      <c r="F92" s="8" t="s">
        <v>52</v>
      </c>
      <c r="G92" s="10">
        <v>71.905</v>
      </c>
      <c r="H92" s="14">
        <v>43766.0</v>
      </c>
      <c r="I92" s="3" t="s">
        <v>670</v>
      </c>
      <c r="J92" s="3" t="s">
        <v>797</v>
      </c>
      <c r="K92" s="3" t="s">
        <v>782</v>
      </c>
      <c r="L92" s="3" t="s">
        <v>72</v>
      </c>
      <c r="M92" s="4" t="str">
        <f>VLOOKUP(C92,Apoio!A:B,2,0)</f>
        <v>11-50</v>
      </c>
    </row>
    <row r="93">
      <c r="A93" s="3" t="s">
        <v>800</v>
      </c>
      <c r="B93" s="3" t="s">
        <v>752</v>
      </c>
      <c r="C93" s="3" t="s">
        <v>41</v>
      </c>
      <c r="D93" s="3" t="s">
        <v>802</v>
      </c>
      <c r="E93" s="3" t="s">
        <v>46</v>
      </c>
      <c r="F93" s="1" t="s">
        <v>51</v>
      </c>
      <c r="G93" s="10">
        <v>19.436</v>
      </c>
      <c r="H93" s="7">
        <v>45544.0</v>
      </c>
      <c r="I93" s="3" t="s">
        <v>167</v>
      </c>
      <c r="J93" s="3" t="s">
        <v>803</v>
      </c>
      <c r="K93" s="3" t="s">
        <v>804</v>
      </c>
      <c r="L93" s="3" t="s">
        <v>172</v>
      </c>
      <c r="M93" s="4" t="str">
        <f>VLOOKUP(C93,Apoio!A:B,2,0)</f>
        <v>251-500</v>
      </c>
    </row>
    <row r="94">
      <c r="A94" s="3" t="s">
        <v>806</v>
      </c>
      <c r="B94" s="3" t="s">
        <v>59</v>
      </c>
      <c r="C94" s="3" t="s">
        <v>61</v>
      </c>
      <c r="D94" s="3" t="s">
        <v>807</v>
      </c>
      <c r="E94" s="3" t="s">
        <v>171</v>
      </c>
      <c r="F94" s="8" t="s">
        <v>52</v>
      </c>
      <c r="G94" s="10">
        <v>206.217</v>
      </c>
      <c r="H94" s="7">
        <v>42987.0</v>
      </c>
      <c r="I94" s="3" t="s">
        <v>167</v>
      </c>
      <c r="J94" s="3" t="s">
        <v>808</v>
      </c>
      <c r="K94" s="3" t="s">
        <v>809</v>
      </c>
      <c r="L94" s="3" t="s">
        <v>68</v>
      </c>
      <c r="M94" s="4" t="str">
        <f>VLOOKUP(C94,Apoio!A:B,2,0)</f>
        <v>11-50</v>
      </c>
    </row>
    <row r="95">
      <c r="A95" s="3" t="s">
        <v>811</v>
      </c>
      <c r="B95" s="3" t="s">
        <v>59</v>
      </c>
      <c r="C95" s="3" t="s">
        <v>61</v>
      </c>
      <c r="D95" s="3" t="s">
        <v>812</v>
      </c>
      <c r="E95" s="3" t="s">
        <v>171</v>
      </c>
      <c r="F95" s="8" t="s">
        <v>52</v>
      </c>
      <c r="G95" s="3" t="s">
        <v>813</v>
      </c>
      <c r="H95" s="7">
        <v>41579.0</v>
      </c>
      <c r="I95" s="3" t="s">
        <v>59</v>
      </c>
      <c r="J95" s="3" t="s">
        <v>814</v>
      </c>
      <c r="K95" s="3" t="s">
        <v>815</v>
      </c>
      <c r="L95" s="3" t="s">
        <v>68</v>
      </c>
      <c r="M95" s="4" t="str">
        <f>VLOOKUP(C95,Apoio!A:B,2,0)</f>
        <v>11-50</v>
      </c>
    </row>
    <row r="96">
      <c r="A96" s="3" t="s">
        <v>816</v>
      </c>
      <c r="B96" s="3" t="s">
        <v>752</v>
      </c>
      <c r="C96" s="3" t="s">
        <v>41</v>
      </c>
      <c r="D96" s="3" t="s">
        <v>472</v>
      </c>
      <c r="E96" s="3" t="s">
        <v>817</v>
      </c>
      <c r="F96" s="1" t="s">
        <v>51</v>
      </c>
      <c r="G96" s="10">
        <v>4.475</v>
      </c>
      <c r="H96" s="7">
        <v>45461.0</v>
      </c>
      <c r="I96" s="3" t="s">
        <v>736</v>
      </c>
      <c r="J96" s="3" t="s">
        <v>818</v>
      </c>
      <c r="K96" s="3" t="s">
        <v>819</v>
      </c>
      <c r="L96" s="3" t="s">
        <v>72</v>
      </c>
      <c r="M96" s="4" t="str">
        <f>VLOOKUP(C96,Apoio!A:B,2,0)</f>
        <v>251-500</v>
      </c>
    </row>
    <row r="97">
      <c r="A97" s="3" t="s">
        <v>582</v>
      </c>
      <c r="B97" s="3" t="s">
        <v>59</v>
      </c>
      <c r="C97" s="3" t="s">
        <v>61</v>
      </c>
      <c r="D97" s="3" t="s">
        <v>583</v>
      </c>
      <c r="E97" s="3" t="s">
        <v>171</v>
      </c>
      <c r="F97" s="8" t="s">
        <v>52</v>
      </c>
      <c r="G97" s="10">
        <v>142.876</v>
      </c>
      <c r="H97" s="14">
        <v>43753.0</v>
      </c>
      <c r="I97" s="3" t="s">
        <v>59</v>
      </c>
      <c r="J97" s="3" t="s">
        <v>822</v>
      </c>
      <c r="K97" s="3" t="s">
        <v>822</v>
      </c>
      <c r="L97" s="3" t="s">
        <v>672</v>
      </c>
      <c r="M97" s="4" t="str">
        <f>VLOOKUP(C97,Apoio!A:B,2,0)</f>
        <v>11-50</v>
      </c>
    </row>
    <row r="98">
      <c r="A98" s="3" t="s">
        <v>823</v>
      </c>
      <c r="B98" s="3" t="s">
        <v>76</v>
      </c>
      <c r="C98" s="3" t="s">
        <v>109</v>
      </c>
      <c r="D98" s="3" t="s">
        <v>824</v>
      </c>
      <c r="E98" s="3" t="s">
        <v>46</v>
      </c>
      <c r="F98" s="1" t="s">
        <v>51</v>
      </c>
      <c r="G98" s="10">
        <v>12.397</v>
      </c>
      <c r="H98" s="7">
        <v>44470.0</v>
      </c>
      <c r="I98" s="3" t="s">
        <v>670</v>
      </c>
      <c r="J98" s="3" t="s">
        <v>825</v>
      </c>
      <c r="K98" s="3" t="s">
        <v>781</v>
      </c>
      <c r="L98" s="3" t="s">
        <v>172</v>
      </c>
      <c r="M98" s="4" t="str">
        <f>VLOOKUP(C98,Apoio!A:B,2,0)</f>
        <v>101-250</v>
      </c>
    </row>
    <row r="99">
      <c r="A99" s="3" t="s">
        <v>826</v>
      </c>
      <c r="B99" s="3" t="s">
        <v>289</v>
      </c>
      <c r="C99" s="3" t="s">
        <v>78</v>
      </c>
      <c r="D99" s="3" t="s">
        <v>827</v>
      </c>
      <c r="E99" s="3" t="s">
        <v>171</v>
      </c>
      <c r="F99" s="8" t="s">
        <v>52</v>
      </c>
      <c r="G99" s="10">
        <v>12.519</v>
      </c>
      <c r="H99" s="7">
        <v>44825.0</v>
      </c>
      <c r="I99" s="3" t="s">
        <v>670</v>
      </c>
      <c r="J99" s="3" t="s">
        <v>828</v>
      </c>
      <c r="K99" s="3" t="s">
        <v>781</v>
      </c>
      <c r="L99" s="3" t="s">
        <v>72</v>
      </c>
      <c r="M99" s="4" t="str">
        <f>VLOOKUP(C99,Apoio!A:B,2,0)</f>
        <v>51-100</v>
      </c>
    </row>
    <row r="100">
      <c r="A100" s="3" t="s">
        <v>829</v>
      </c>
      <c r="B100" s="3" t="s">
        <v>685</v>
      </c>
      <c r="C100" s="3" t="s">
        <v>361</v>
      </c>
      <c r="D100" s="3" t="s">
        <v>830</v>
      </c>
      <c r="E100" s="3" t="s">
        <v>46</v>
      </c>
      <c r="F100" s="1" t="s">
        <v>51</v>
      </c>
      <c r="G100" s="10">
        <v>3.788</v>
      </c>
      <c r="H100" s="7">
        <v>45851.0</v>
      </c>
      <c r="I100" s="3" t="s">
        <v>364</v>
      </c>
      <c r="J100" s="3" t="s">
        <v>831</v>
      </c>
      <c r="K100" s="3" t="s">
        <v>832</v>
      </c>
      <c r="L100" s="3" t="s">
        <v>172</v>
      </c>
      <c r="M100" s="4" t="str">
        <f>VLOOKUP(C100,Apoio!A:B,2,0)</f>
        <v>5k-10k</v>
      </c>
    </row>
    <row r="101">
      <c r="A101" s="3" t="s">
        <v>836</v>
      </c>
      <c r="B101" s="3" t="s">
        <v>38</v>
      </c>
      <c r="C101" s="3" t="s">
        <v>61</v>
      </c>
      <c r="D101" s="3" t="s">
        <v>837</v>
      </c>
      <c r="E101" s="3" t="s">
        <v>612</v>
      </c>
      <c r="F101" s="1" t="s">
        <v>51</v>
      </c>
      <c r="G101" s="10">
        <v>33.914</v>
      </c>
      <c r="H101" s="7">
        <v>45685.0</v>
      </c>
      <c r="I101" s="3" t="s">
        <v>68</v>
      </c>
      <c r="J101" s="3" t="s">
        <v>839</v>
      </c>
      <c r="K101" s="3" t="s">
        <v>839</v>
      </c>
      <c r="L101" s="3" t="s">
        <v>72</v>
      </c>
      <c r="M101" s="4" t="str">
        <f>VLOOKUP(C101,Apoio!A:B,2,0)</f>
        <v>11-50</v>
      </c>
    </row>
    <row r="102">
      <c r="A102" s="3" t="s">
        <v>841</v>
      </c>
      <c r="B102" s="3" t="s">
        <v>38</v>
      </c>
      <c r="C102" s="3" t="s">
        <v>61</v>
      </c>
      <c r="D102" s="3" t="s">
        <v>842</v>
      </c>
      <c r="E102" s="3" t="s">
        <v>171</v>
      </c>
      <c r="F102" s="8" t="s">
        <v>52</v>
      </c>
      <c r="G102" s="10">
        <v>312.966</v>
      </c>
      <c r="H102" s="7">
        <v>41723.0</v>
      </c>
      <c r="I102" s="3" t="s">
        <v>68</v>
      </c>
      <c r="J102" s="3" t="s">
        <v>825</v>
      </c>
      <c r="K102" s="3" t="s">
        <v>825</v>
      </c>
      <c r="L102" s="3" t="s">
        <v>72</v>
      </c>
      <c r="M102" s="4" t="str">
        <f>VLOOKUP(C102,Apoio!A:B,2,0)</f>
        <v>11-50</v>
      </c>
    </row>
    <row r="103">
      <c r="A103" s="3" t="s">
        <v>846</v>
      </c>
      <c r="B103" s="3" t="s">
        <v>59</v>
      </c>
      <c r="C103" s="3" t="s">
        <v>109</v>
      </c>
      <c r="D103" s="3" t="s">
        <v>847</v>
      </c>
      <c r="E103" s="3" t="s">
        <v>848</v>
      </c>
      <c r="F103" s="8" t="s">
        <v>52</v>
      </c>
      <c r="G103" s="3" t="s">
        <v>849</v>
      </c>
      <c r="H103" s="7">
        <v>41142.0</v>
      </c>
      <c r="I103" s="3" t="s">
        <v>59</v>
      </c>
      <c r="J103" s="3" t="s">
        <v>850</v>
      </c>
      <c r="K103" s="3" t="s">
        <v>850</v>
      </c>
      <c r="L103" s="3" t="s">
        <v>72</v>
      </c>
      <c r="M103" s="4" t="str">
        <f>VLOOKUP(C103,Apoio!A:B,2,0)</f>
        <v>101-250</v>
      </c>
    </row>
    <row r="104">
      <c r="A104" s="3" t="s">
        <v>851</v>
      </c>
      <c r="B104" s="3" t="s">
        <v>565</v>
      </c>
      <c r="C104" s="3" t="s">
        <v>330</v>
      </c>
      <c r="D104" s="3" t="s">
        <v>852</v>
      </c>
      <c r="E104" s="3" t="s">
        <v>261</v>
      </c>
      <c r="F104" s="1" t="s">
        <v>51</v>
      </c>
      <c r="G104" s="10">
        <v>11.344</v>
      </c>
      <c r="H104" s="14">
        <v>44545.0</v>
      </c>
      <c r="I104" s="3" t="s">
        <v>736</v>
      </c>
      <c r="J104" s="3" t="s">
        <v>853</v>
      </c>
      <c r="K104" s="3" t="s">
        <v>854</v>
      </c>
      <c r="L104" s="3" t="s">
        <v>72</v>
      </c>
      <c r="M104" s="4" t="str">
        <f>VLOOKUP(C104,Apoio!A:B,2,0)</f>
        <v>501-1000</v>
      </c>
    </row>
    <row r="105">
      <c r="A105" s="3" t="s">
        <v>856</v>
      </c>
      <c r="B105" s="3" t="s">
        <v>565</v>
      </c>
      <c r="C105" s="3" t="s">
        <v>346</v>
      </c>
      <c r="D105" s="3" t="s">
        <v>857</v>
      </c>
      <c r="E105" s="3" t="s">
        <v>261</v>
      </c>
      <c r="F105" s="1" t="s">
        <v>51</v>
      </c>
      <c r="G105" s="10">
        <v>18.996</v>
      </c>
      <c r="H105" s="7">
        <v>44203.0</v>
      </c>
      <c r="I105" s="3" t="s">
        <v>736</v>
      </c>
      <c r="J105" s="3" t="s">
        <v>858</v>
      </c>
      <c r="K105" s="3" t="s">
        <v>859</v>
      </c>
      <c r="L105" s="3" t="s">
        <v>72</v>
      </c>
      <c r="M105" s="4" t="str">
        <f>VLOOKUP(C105,Apoio!A:B,2,0)</f>
        <v>1k-5k</v>
      </c>
    </row>
    <row r="106">
      <c r="A106" s="3" t="s">
        <v>860</v>
      </c>
      <c r="B106" s="3" t="s">
        <v>289</v>
      </c>
      <c r="C106" s="3" t="s">
        <v>109</v>
      </c>
      <c r="D106" s="3" t="s">
        <v>861</v>
      </c>
      <c r="E106" s="3" t="s">
        <v>46</v>
      </c>
      <c r="F106" s="1" t="s">
        <v>51</v>
      </c>
      <c r="G106" s="10">
        <v>28.488</v>
      </c>
      <c r="H106" s="14">
        <v>45625.0</v>
      </c>
      <c r="I106" s="3" t="s">
        <v>670</v>
      </c>
      <c r="J106" s="3" t="s">
        <v>862</v>
      </c>
      <c r="K106" s="3" t="s">
        <v>863</v>
      </c>
      <c r="L106" s="3" t="s">
        <v>172</v>
      </c>
      <c r="M106" s="4" t="str">
        <f>VLOOKUP(C106,Apoio!A:B,2,0)</f>
        <v>101-250</v>
      </c>
    </row>
    <row r="107">
      <c r="A107" s="3" t="s">
        <v>865</v>
      </c>
      <c r="B107" s="3" t="s">
        <v>76</v>
      </c>
      <c r="C107" s="3" t="s">
        <v>61</v>
      </c>
      <c r="D107" s="3" t="s">
        <v>866</v>
      </c>
      <c r="E107" s="3" t="s">
        <v>66</v>
      </c>
      <c r="F107" s="8" t="s">
        <v>52</v>
      </c>
      <c r="G107" s="10">
        <v>114.998</v>
      </c>
      <c r="H107" s="7">
        <v>43983.0</v>
      </c>
      <c r="I107" s="3" t="s">
        <v>670</v>
      </c>
      <c r="J107" s="3" t="s">
        <v>867</v>
      </c>
      <c r="K107" s="3" t="s">
        <v>867</v>
      </c>
      <c r="L107" s="3" t="s">
        <v>72</v>
      </c>
      <c r="M107" s="4" t="str">
        <f>VLOOKUP(C107,Apoio!A:B,2,0)</f>
        <v>11-50</v>
      </c>
    </row>
    <row r="108">
      <c r="A108" s="3" t="s">
        <v>868</v>
      </c>
      <c r="B108" s="3" t="s">
        <v>38</v>
      </c>
      <c r="C108" s="3" t="s">
        <v>61</v>
      </c>
      <c r="D108" s="3" t="s">
        <v>869</v>
      </c>
      <c r="E108" s="3" t="s">
        <v>710</v>
      </c>
      <c r="F108" s="8" t="s">
        <v>52</v>
      </c>
      <c r="G108" s="10">
        <v>128.406</v>
      </c>
      <c r="H108" s="7">
        <v>43466.0</v>
      </c>
      <c r="I108" s="3" t="s">
        <v>68</v>
      </c>
      <c r="J108" s="3" t="s">
        <v>867</v>
      </c>
      <c r="K108" s="3" t="s">
        <v>867</v>
      </c>
      <c r="L108" s="3" t="s">
        <v>72</v>
      </c>
      <c r="M108" s="4" t="str">
        <f>VLOOKUP(C108,Apoio!A:B,2,0)</f>
        <v>11-50</v>
      </c>
    </row>
    <row r="109">
      <c r="A109" s="3" t="s">
        <v>871</v>
      </c>
      <c r="B109" s="3" t="s">
        <v>59</v>
      </c>
      <c r="C109" s="3" t="s">
        <v>61</v>
      </c>
      <c r="D109" s="3" t="s">
        <v>872</v>
      </c>
      <c r="E109" s="3" t="s">
        <v>171</v>
      </c>
      <c r="F109" s="8" t="s">
        <v>52</v>
      </c>
      <c r="G109" s="10">
        <v>45.018</v>
      </c>
      <c r="H109" s="7">
        <v>45457.0</v>
      </c>
      <c r="I109" s="3" t="s">
        <v>59</v>
      </c>
      <c r="J109" s="3" t="s">
        <v>873</v>
      </c>
      <c r="K109" s="3" t="s">
        <v>873</v>
      </c>
      <c r="L109" s="3" t="s">
        <v>172</v>
      </c>
      <c r="M109" s="4" t="str">
        <f>VLOOKUP(C109,Apoio!A:B,2,0)</f>
        <v>11-50</v>
      </c>
    </row>
    <row r="110">
      <c r="A110" s="3" t="s">
        <v>875</v>
      </c>
      <c r="B110" s="3" t="s">
        <v>38</v>
      </c>
      <c r="C110" s="3" t="s">
        <v>109</v>
      </c>
      <c r="D110" s="3" t="s">
        <v>541</v>
      </c>
      <c r="E110" s="3" t="s">
        <v>46</v>
      </c>
      <c r="F110" s="1" t="s">
        <v>51</v>
      </c>
      <c r="G110" s="10">
        <v>13.618</v>
      </c>
      <c r="H110" s="14">
        <v>45953.0</v>
      </c>
      <c r="I110" s="3" t="s">
        <v>68</v>
      </c>
      <c r="J110" s="3" t="s">
        <v>876</v>
      </c>
      <c r="K110" s="3" t="s">
        <v>877</v>
      </c>
      <c r="L110" s="3" t="s">
        <v>672</v>
      </c>
      <c r="M110" s="4" t="str">
        <f>VLOOKUP(C110,Apoio!A:B,2,0)</f>
        <v>101-250</v>
      </c>
    </row>
    <row r="111">
      <c r="A111" s="3" t="s">
        <v>878</v>
      </c>
      <c r="B111" s="3" t="s">
        <v>289</v>
      </c>
      <c r="C111" s="3" t="s">
        <v>78</v>
      </c>
      <c r="D111" s="3" t="s">
        <v>879</v>
      </c>
      <c r="E111" s="3" t="s">
        <v>46</v>
      </c>
      <c r="F111" s="1" t="s">
        <v>51</v>
      </c>
      <c r="G111" s="10">
        <v>17.576</v>
      </c>
      <c r="H111" s="7">
        <v>45324.0</v>
      </c>
      <c r="I111" s="3" t="s">
        <v>670</v>
      </c>
      <c r="J111" s="3" t="s">
        <v>880</v>
      </c>
      <c r="K111" s="3" t="s">
        <v>881</v>
      </c>
      <c r="L111" s="3" t="s">
        <v>72</v>
      </c>
      <c r="M111" s="4" t="str">
        <f>VLOOKUP(C111,Apoio!A:B,2,0)</f>
        <v>51-100</v>
      </c>
    </row>
    <row r="112">
      <c r="A112" s="3" t="s">
        <v>884</v>
      </c>
      <c r="B112" s="3" t="s">
        <v>38</v>
      </c>
      <c r="C112" s="3" t="s">
        <v>61</v>
      </c>
      <c r="D112" s="3" t="s">
        <v>885</v>
      </c>
      <c r="E112" s="3" t="s">
        <v>46</v>
      </c>
      <c r="F112" s="1" t="s">
        <v>51</v>
      </c>
      <c r="G112" s="10">
        <v>10.461</v>
      </c>
      <c r="H112" s="7">
        <v>44602.0</v>
      </c>
      <c r="I112" s="3" t="s">
        <v>68</v>
      </c>
      <c r="J112" s="3" t="s">
        <v>886</v>
      </c>
      <c r="K112" s="3" t="s">
        <v>887</v>
      </c>
      <c r="L112" s="3" t="s">
        <v>172</v>
      </c>
      <c r="M112" s="4" t="str">
        <f>VLOOKUP(C112,Apoio!A:B,2,0)</f>
        <v>11-50</v>
      </c>
    </row>
    <row r="113">
      <c r="A113" s="3" t="s">
        <v>888</v>
      </c>
      <c r="B113" s="3" t="s">
        <v>289</v>
      </c>
      <c r="C113" s="3" t="s">
        <v>109</v>
      </c>
      <c r="D113" s="3" t="s">
        <v>640</v>
      </c>
      <c r="E113" s="3" t="s">
        <v>46</v>
      </c>
      <c r="F113" s="1" t="s">
        <v>51</v>
      </c>
      <c r="G113" s="10">
        <v>25.804</v>
      </c>
      <c r="H113" s="7">
        <v>45908.0</v>
      </c>
      <c r="I113" s="3" t="s">
        <v>670</v>
      </c>
      <c r="J113" s="3" t="s">
        <v>889</v>
      </c>
      <c r="K113" s="3" t="s">
        <v>890</v>
      </c>
      <c r="L113" s="3" t="s">
        <v>672</v>
      </c>
      <c r="M113" s="4" t="str">
        <f>VLOOKUP(C113,Apoio!A:B,2,0)</f>
        <v>101-250</v>
      </c>
    </row>
    <row r="114">
      <c r="A114" s="3" t="s">
        <v>892</v>
      </c>
      <c r="B114" s="3" t="s">
        <v>38</v>
      </c>
      <c r="C114" s="3" t="s">
        <v>41</v>
      </c>
      <c r="D114" s="3" t="s">
        <v>893</v>
      </c>
      <c r="E114" s="3" t="s">
        <v>171</v>
      </c>
      <c r="F114" s="8" t="s">
        <v>52</v>
      </c>
      <c r="G114" s="10">
        <v>12.812</v>
      </c>
      <c r="H114" s="14">
        <v>45281.0</v>
      </c>
      <c r="I114" s="3" t="s">
        <v>167</v>
      </c>
      <c r="J114" s="3" t="s">
        <v>894</v>
      </c>
      <c r="K114" s="3" t="s">
        <v>890</v>
      </c>
      <c r="L114" s="3" t="s">
        <v>672</v>
      </c>
      <c r="M114" s="4" t="str">
        <f>VLOOKUP(C114,Apoio!A:B,2,0)</f>
        <v>251-500</v>
      </c>
    </row>
    <row r="115">
      <c r="A115" s="3" t="s">
        <v>896</v>
      </c>
      <c r="B115" s="3" t="s">
        <v>752</v>
      </c>
      <c r="C115" s="3" t="s">
        <v>41</v>
      </c>
      <c r="D115" s="3" t="s">
        <v>897</v>
      </c>
      <c r="E115" s="3" t="s">
        <v>46</v>
      </c>
      <c r="F115" s="1" t="s">
        <v>51</v>
      </c>
      <c r="G115" s="10">
        <v>3.003</v>
      </c>
      <c r="H115" s="7">
        <v>45699.0</v>
      </c>
      <c r="I115" s="3" t="s">
        <v>736</v>
      </c>
      <c r="J115" s="3" t="s">
        <v>899</v>
      </c>
      <c r="K115" s="3" t="s">
        <v>900</v>
      </c>
      <c r="L115" s="3" t="s">
        <v>172</v>
      </c>
      <c r="M115" s="4" t="str">
        <f>VLOOKUP(C115,Apoio!A:B,2,0)</f>
        <v>251-500</v>
      </c>
    </row>
    <row r="116">
      <c r="A116" s="3" t="s">
        <v>901</v>
      </c>
      <c r="B116" s="3" t="s">
        <v>38</v>
      </c>
      <c r="C116" s="3" t="s">
        <v>197</v>
      </c>
      <c r="D116" s="3" t="s">
        <v>902</v>
      </c>
      <c r="E116" s="3" t="s">
        <v>46</v>
      </c>
      <c r="F116" s="1" t="s">
        <v>51</v>
      </c>
      <c r="G116" s="10">
        <v>24.068</v>
      </c>
      <c r="H116" s="7">
        <v>45264.0</v>
      </c>
      <c r="I116" s="3" t="s">
        <v>68</v>
      </c>
      <c r="J116" s="3" t="s">
        <v>903</v>
      </c>
      <c r="K116" s="3" t="s">
        <v>904</v>
      </c>
      <c r="L116" s="3" t="s">
        <v>72</v>
      </c>
      <c r="M116" s="4" t="str">
        <f>VLOOKUP(C116,Apoio!A:B,2,0)</f>
        <v>501-1000</v>
      </c>
    </row>
    <row r="117">
      <c r="A117" s="3" t="s">
        <v>906</v>
      </c>
      <c r="B117" s="3" t="s">
        <v>289</v>
      </c>
      <c r="C117" s="3" t="s">
        <v>61</v>
      </c>
      <c r="D117" s="3" t="s">
        <v>907</v>
      </c>
      <c r="E117" s="3" t="s">
        <v>908</v>
      </c>
      <c r="F117" s="8" t="s">
        <v>52</v>
      </c>
      <c r="G117" s="10">
        <v>63.244</v>
      </c>
      <c r="H117" s="7">
        <v>43661.0</v>
      </c>
      <c r="I117" s="3" t="s">
        <v>670</v>
      </c>
      <c r="J117" s="3" t="s">
        <v>904</v>
      </c>
      <c r="K117" s="3" t="s">
        <v>904</v>
      </c>
      <c r="L117" s="3" t="s">
        <v>72</v>
      </c>
      <c r="M117" s="4" t="str">
        <f>VLOOKUP(C117,Apoio!A:B,2,0)</f>
        <v>11-50</v>
      </c>
    </row>
    <row r="118">
      <c r="A118" s="3" t="s">
        <v>910</v>
      </c>
      <c r="B118" s="3" t="s">
        <v>685</v>
      </c>
      <c r="C118" s="3" t="s">
        <v>197</v>
      </c>
      <c r="D118" s="3" t="s">
        <v>911</v>
      </c>
      <c r="E118" s="3" t="s">
        <v>188</v>
      </c>
      <c r="F118" s="1" t="s">
        <v>51</v>
      </c>
      <c r="G118" s="10">
        <v>99.895</v>
      </c>
      <c r="H118" s="7">
        <v>43857.0</v>
      </c>
      <c r="I118" s="3" t="s">
        <v>364</v>
      </c>
      <c r="J118" s="3" t="s">
        <v>912</v>
      </c>
      <c r="K118" s="3" t="s">
        <v>912</v>
      </c>
      <c r="L118" s="3" t="s">
        <v>672</v>
      </c>
      <c r="M118" s="4" t="str">
        <f>VLOOKUP(C118,Apoio!A:B,2,0)</f>
        <v>501-1000</v>
      </c>
    </row>
    <row r="119">
      <c r="A119" s="3" t="s">
        <v>913</v>
      </c>
      <c r="B119" s="3" t="s">
        <v>38</v>
      </c>
      <c r="C119" s="3" t="s">
        <v>346</v>
      </c>
      <c r="D119" s="3" t="s">
        <v>914</v>
      </c>
      <c r="E119" s="3" t="s">
        <v>188</v>
      </c>
      <c r="F119" s="1" t="s">
        <v>51</v>
      </c>
      <c r="G119" s="10">
        <v>8.704</v>
      </c>
      <c r="H119" s="7">
        <v>45670.0</v>
      </c>
      <c r="I119" s="3" t="s">
        <v>68</v>
      </c>
      <c r="J119" s="3" t="s">
        <v>915</v>
      </c>
      <c r="K119" s="3" t="s">
        <v>916</v>
      </c>
      <c r="L119" s="3" t="s">
        <v>172</v>
      </c>
      <c r="M119" s="4" t="str">
        <f>VLOOKUP(C119,Apoio!A:B,2,0)</f>
        <v>1k-5k</v>
      </c>
    </row>
    <row r="120">
      <c r="A120" s="3" t="s">
        <v>918</v>
      </c>
      <c r="B120" s="3" t="s">
        <v>565</v>
      </c>
      <c r="C120" s="3" t="s">
        <v>330</v>
      </c>
      <c r="D120" s="3" t="s">
        <v>920</v>
      </c>
      <c r="E120" s="3" t="s">
        <v>46</v>
      </c>
      <c r="F120" s="1" t="s">
        <v>51</v>
      </c>
      <c r="G120" s="10">
        <v>7.605</v>
      </c>
      <c r="H120" s="7">
        <v>45848.0</v>
      </c>
      <c r="I120" s="3" t="s">
        <v>736</v>
      </c>
      <c r="J120" s="3" t="s">
        <v>922</v>
      </c>
      <c r="K120" s="3" t="s">
        <v>923</v>
      </c>
      <c r="L120" s="3" t="s">
        <v>172</v>
      </c>
      <c r="M120" s="4" t="str">
        <f>VLOOKUP(C120,Apoio!A:B,2,0)</f>
        <v>501-1000</v>
      </c>
    </row>
    <row r="121">
      <c r="A121" s="3" t="s">
        <v>925</v>
      </c>
      <c r="B121" s="3" t="s">
        <v>76</v>
      </c>
      <c r="C121" s="3" t="s">
        <v>109</v>
      </c>
      <c r="D121" s="3" t="s">
        <v>926</v>
      </c>
      <c r="E121" s="3" t="s">
        <v>46</v>
      </c>
      <c r="F121" s="1" t="s">
        <v>51</v>
      </c>
      <c r="G121" s="10">
        <v>14.84</v>
      </c>
      <c r="H121" s="14">
        <v>44497.0</v>
      </c>
      <c r="I121" s="3" t="s">
        <v>670</v>
      </c>
      <c r="J121" s="3" t="s">
        <v>927</v>
      </c>
      <c r="K121" s="3" t="s">
        <v>923</v>
      </c>
      <c r="L121" s="3" t="s">
        <v>72</v>
      </c>
      <c r="M121" s="4" t="str">
        <f>VLOOKUP(C121,Apoio!A:B,2,0)</f>
        <v>101-250</v>
      </c>
    </row>
    <row r="122">
      <c r="A122" s="3" t="s">
        <v>614</v>
      </c>
      <c r="B122" s="3" t="s">
        <v>59</v>
      </c>
      <c r="C122" s="3" t="s">
        <v>61</v>
      </c>
      <c r="D122" s="3" t="s">
        <v>615</v>
      </c>
      <c r="E122" s="3" t="s">
        <v>930</v>
      </c>
      <c r="F122" s="1" t="s">
        <v>51</v>
      </c>
      <c r="G122" s="10">
        <v>100.719</v>
      </c>
      <c r="H122" s="7">
        <v>45667.0</v>
      </c>
      <c r="I122" s="3" t="s">
        <v>59</v>
      </c>
      <c r="J122" s="3" t="s">
        <v>932</v>
      </c>
      <c r="K122" s="3" t="s">
        <v>933</v>
      </c>
      <c r="L122" s="3" t="s">
        <v>172</v>
      </c>
      <c r="M122" s="4" t="str">
        <f>VLOOKUP(C122,Apoio!A:B,2,0)</f>
        <v>11-50</v>
      </c>
    </row>
    <row r="123">
      <c r="A123" s="3" t="s">
        <v>935</v>
      </c>
      <c r="B123" s="3" t="s">
        <v>289</v>
      </c>
      <c r="C123" s="3" t="s">
        <v>109</v>
      </c>
      <c r="D123" s="3" t="s">
        <v>936</v>
      </c>
      <c r="E123" s="3" t="s">
        <v>46</v>
      </c>
      <c r="F123" s="1" t="s">
        <v>51</v>
      </c>
      <c r="G123" s="10">
        <v>11.315</v>
      </c>
      <c r="H123" s="7">
        <v>45852.0</v>
      </c>
      <c r="I123" s="3" t="s">
        <v>670</v>
      </c>
      <c r="J123" s="3" t="s">
        <v>938</v>
      </c>
      <c r="K123" s="3" t="s">
        <v>939</v>
      </c>
      <c r="L123" s="3" t="s">
        <v>72</v>
      </c>
      <c r="M123" s="4" t="str">
        <f>VLOOKUP(C123,Apoio!A:B,2,0)</f>
        <v>101-250</v>
      </c>
    </row>
    <row r="124">
      <c r="A124" s="3" t="s">
        <v>942</v>
      </c>
      <c r="B124" s="3" t="s">
        <v>76</v>
      </c>
      <c r="C124" s="3" t="s">
        <v>61</v>
      </c>
      <c r="D124" s="3" t="s">
        <v>943</v>
      </c>
      <c r="E124" s="3" t="s">
        <v>46</v>
      </c>
      <c r="F124" s="1" t="s">
        <v>51</v>
      </c>
      <c r="G124" s="10">
        <v>19.065</v>
      </c>
      <c r="H124" s="7">
        <v>45714.0</v>
      </c>
      <c r="I124" s="3" t="s">
        <v>670</v>
      </c>
      <c r="J124" s="3" t="s">
        <v>944</v>
      </c>
      <c r="K124" s="3" t="s">
        <v>944</v>
      </c>
      <c r="L124" s="3" t="s">
        <v>72</v>
      </c>
      <c r="M124" s="4" t="str">
        <f>VLOOKUP(C124,Apoio!A:B,2,0)</f>
        <v>11-50</v>
      </c>
    </row>
    <row r="125">
      <c r="A125" s="3" t="s">
        <v>946</v>
      </c>
      <c r="B125" s="3" t="s">
        <v>685</v>
      </c>
      <c r="C125" s="3" t="s">
        <v>361</v>
      </c>
      <c r="D125" s="3" t="s">
        <v>947</v>
      </c>
      <c r="E125" s="3" t="s">
        <v>46</v>
      </c>
      <c r="F125" s="1" t="s">
        <v>51</v>
      </c>
      <c r="G125" s="10">
        <v>20.065</v>
      </c>
      <c r="H125" s="7">
        <v>44943.0</v>
      </c>
      <c r="I125" s="3" t="s">
        <v>364</v>
      </c>
      <c r="J125" s="3" t="s">
        <v>948</v>
      </c>
      <c r="K125" s="3" t="s">
        <v>949</v>
      </c>
      <c r="L125" s="3" t="s">
        <v>72</v>
      </c>
      <c r="M125" s="4" t="str">
        <f>VLOOKUP(C125,Apoio!A:B,2,0)</f>
        <v>5k-10k</v>
      </c>
    </row>
    <row r="126">
      <c r="A126" s="3" t="s">
        <v>952</v>
      </c>
      <c r="B126" s="3" t="s">
        <v>685</v>
      </c>
      <c r="C126" s="3" t="s">
        <v>321</v>
      </c>
      <c r="D126" s="3" t="s">
        <v>911</v>
      </c>
      <c r="E126" s="3" t="s">
        <v>188</v>
      </c>
      <c r="F126" s="1" t="s">
        <v>51</v>
      </c>
      <c r="G126" s="10">
        <v>11.302</v>
      </c>
      <c r="H126" s="7">
        <v>45903.0</v>
      </c>
      <c r="I126" s="3" t="s">
        <v>167</v>
      </c>
      <c r="J126" s="3" t="s">
        <v>954</v>
      </c>
      <c r="K126" s="3" t="s">
        <v>955</v>
      </c>
      <c r="L126" s="3" t="s">
        <v>72</v>
      </c>
      <c r="M126" s="4" t="str">
        <f>VLOOKUP(C126,Apoio!A:B,2,0)</f>
        <v>10k+</v>
      </c>
    </row>
    <row r="127">
      <c r="A127" s="3" t="s">
        <v>956</v>
      </c>
      <c r="B127" s="3" t="s">
        <v>752</v>
      </c>
      <c r="C127" s="3" t="s">
        <v>61</v>
      </c>
      <c r="D127" s="3" t="s">
        <v>957</v>
      </c>
      <c r="E127" s="3" t="s">
        <v>46</v>
      </c>
      <c r="F127" s="1" t="s">
        <v>51</v>
      </c>
      <c r="G127" s="10">
        <v>13.078</v>
      </c>
      <c r="H127" s="7">
        <v>45806.0</v>
      </c>
      <c r="I127" s="3" t="s">
        <v>736</v>
      </c>
      <c r="J127" s="3" t="s">
        <v>958</v>
      </c>
      <c r="K127" s="3" t="s">
        <v>959</v>
      </c>
      <c r="L127" s="3" t="s">
        <v>72</v>
      </c>
      <c r="M127" s="4" t="str">
        <f>VLOOKUP(C127,Apoio!A:B,2,0)</f>
        <v>11-50</v>
      </c>
    </row>
    <row r="128">
      <c r="A128" s="3" t="s">
        <v>962</v>
      </c>
      <c r="B128" s="3" t="s">
        <v>59</v>
      </c>
      <c r="C128" s="3" t="s">
        <v>61</v>
      </c>
      <c r="D128" s="3" t="s">
        <v>472</v>
      </c>
      <c r="E128" s="3" t="s">
        <v>46</v>
      </c>
      <c r="F128" s="1" t="s">
        <v>51</v>
      </c>
      <c r="G128" s="10">
        <v>28.893</v>
      </c>
      <c r="H128" s="7">
        <v>45162.0</v>
      </c>
      <c r="I128" s="3" t="s">
        <v>59</v>
      </c>
      <c r="J128" s="3" t="s">
        <v>963</v>
      </c>
      <c r="K128" s="3" t="s">
        <v>959</v>
      </c>
      <c r="L128" s="3" t="s">
        <v>172</v>
      </c>
      <c r="M128" s="4" t="str">
        <f>VLOOKUP(C128,Apoio!A:B,2,0)</f>
        <v>11-50</v>
      </c>
    </row>
    <row r="129">
      <c r="A129" s="3" t="s">
        <v>964</v>
      </c>
      <c r="B129" s="3" t="s">
        <v>38</v>
      </c>
      <c r="C129" s="3" t="s">
        <v>61</v>
      </c>
      <c r="D129" s="3" t="s">
        <v>965</v>
      </c>
      <c r="E129" s="3" t="s">
        <v>171</v>
      </c>
      <c r="F129" s="8" t="s">
        <v>52</v>
      </c>
      <c r="G129" s="10">
        <v>44.17</v>
      </c>
      <c r="H129" s="7">
        <v>45602.0</v>
      </c>
      <c r="I129" s="3" t="s">
        <v>68</v>
      </c>
      <c r="J129" s="3" t="s">
        <v>966</v>
      </c>
      <c r="K129" s="3" t="s">
        <v>959</v>
      </c>
      <c r="L129" s="3" t="s">
        <v>172</v>
      </c>
      <c r="M129" s="4" t="str">
        <f>VLOOKUP(C129,Apoio!A:B,2,0)</f>
        <v>11-50</v>
      </c>
    </row>
    <row r="130">
      <c r="A130" s="3" t="s">
        <v>968</v>
      </c>
      <c r="B130" s="3" t="s">
        <v>38</v>
      </c>
      <c r="C130" s="3" t="s">
        <v>61</v>
      </c>
      <c r="D130" s="3" t="s">
        <v>969</v>
      </c>
      <c r="E130" s="3" t="s">
        <v>970</v>
      </c>
      <c r="F130" s="8" t="s">
        <v>52</v>
      </c>
      <c r="G130" s="3" t="s">
        <v>971</v>
      </c>
      <c r="H130" s="7">
        <v>39092.0</v>
      </c>
      <c r="I130" s="3" t="s">
        <v>167</v>
      </c>
      <c r="J130" s="3" t="s">
        <v>972</v>
      </c>
      <c r="K130" s="3" t="s">
        <v>972</v>
      </c>
      <c r="L130" s="3" t="s">
        <v>68</v>
      </c>
      <c r="M130" s="4" t="str">
        <f>VLOOKUP(C130,Apoio!A:B,2,0)</f>
        <v>11-50</v>
      </c>
    </row>
    <row r="131">
      <c r="A131" s="3" t="s">
        <v>976</v>
      </c>
      <c r="B131" s="3" t="s">
        <v>59</v>
      </c>
      <c r="C131" s="3" t="s">
        <v>61</v>
      </c>
      <c r="D131" s="3" t="s">
        <v>977</v>
      </c>
      <c r="E131" s="3" t="s">
        <v>171</v>
      </c>
      <c r="F131" s="8" t="s">
        <v>52</v>
      </c>
      <c r="G131" s="10">
        <v>48.18</v>
      </c>
      <c r="H131" s="7">
        <v>44927.0</v>
      </c>
      <c r="I131" s="3" t="s">
        <v>59</v>
      </c>
      <c r="J131" s="3" t="s">
        <v>979</v>
      </c>
      <c r="K131" s="3" t="s">
        <v>980</v>
      </c>
      <c r="L131" s="3" t="s">
        <v>72</v>
      </c>
      <c r="M131" s="4" t="str">
        <f>VLOOKUP(C131,Apoio!A:B,2,0)</f>
        <v>11-50</v>
      </c>
    </row>
    <row r="132">
      <c r="A132" s="3" t="s">
        <v>981</v>
      </c>
      <c r="B132" s="3" t="s">
        <v>59</v>
      </c>
      <c r="C132" s="3" t="s">
        <v>61</v>
      </c>
      <c r="D132" s="3" t="s">
        <v>982</v>
      </c>
      <c r="E132" s="3" t="s">
        <v>188</v>
      </c>
      <c r="F132" s="1" t="s">
        <v>51</v>
      </c>
      <c r="G132" s="10">
        <v>40.074</v>
      </c>
      <c r="H132" s="14">
        <v>45945.0</v>
      </c>
      <c r="I132" s="3" t="s">
        <v>59</v>
      </c>
      <c r="J132" s="3" t="s">
        <v>983</v>
      </c>
      <c r="K132" s="3" t="s">
        <v>983</v>
      </c>
      <c r="L132" s="3" t="s">
        <v>672</v>
      </c>
      <c r="M132" s="4" t="str">
        <f>VLOOKUP(C132,Apoio!A:B,2,0)</f>
        <v>11-50</v>
      </c>
    </row>
    <row r="133">
      <c r="A133" s="3" t="s">
        <v>988</v>
      </c>
      <c r="B133" s="3" t="s">
        <v>685</v>
      </c>
      <c r="C133" s="3" t="s">
        <v>321</v>
      </c>
      <c r="D133" s="3" t="s">
        <v>989</v>
      </c>
      <c r="E133" s="3" t="s">
        <v>46</v>
      </c>
      <c r="F133" s="1" t="s">
        <v>51</v>
      </c>
      <c r="G133" s="10">
        <v>9.566</v>
      </c>
      <c r="H133" s="7">
        <v>45831.0</v>
      </c>
      <c r="I133" s="3" t="s">
        <v>364</v>
      </c>
      <c r="J133" s="3" t="s">
        <v>990</v>
      </c>
      <c r="K133" s="3" t="s">
        <v>991</v>
      </c>
      <c r="L133" s="3" t="s">
        <v>172</v>
      </c>
      <c r="M133" s="4" t="str">
        <f>VLOOKUP(C133,Apoio!A:B,2,0)</f>
        <v>10k+</v>
      </c>
    </row>
    <row r="134">
      <c r="A134" s="3" t="s">
        <v>992</v>
      </c>
      <c r="B134" s="3" t="s">
        <v>289</v>
      </c>
      <c r="C134" s="3" t="s">
        <v>109</v>
      </c>
      <c r="D134" s="3" t="s">
        <v>994</v>
      </c>
      <c r="E134" s="3" t="s">
        <v>612</v>
      </c>
      <c r="F134" s="1" t="s">
        <v>51</v>
      </c>
      <c r="G134" s="10">
        <v>13.547</v>
      </c>
      <c r="H134" s="7">
        <v>45931.0</v>
      </c>
      <c r="I134" s="3" t="s">
        <v>670</v>
      </c>
      <c r="J134" s="3" t="s">
        <v>995</v>
      </c>
      <c r="K134" s="3" t="s">
        <v>996</v>
      </c>
      <c r="L134" s="3" t="s">
        <v>672</v>
      </c>
      <c r="M134" s="4" t="str">
        <f>VLOOKUP(C134,Apoio!A:B,2,0)</f>
        <v>101-250</v>
      </c>
    </row>
    <row r="135">
      <c r="A135" s="3" t="s">
        <v>1000</v>
      </c>
      <c r="B135" s="3" t="s">
        <v>76</v>
      </c>
      <c r="C135" s="3" t="s">
        <v>78</v>
      </c>
      <c r="D135" s="3" t="s">
        <v>1001</v>
      </c>
      <c r="E135" s="3" t="s">
        <v>46</v>
      </c>
      <c r="F135" s="1" t="s">
        <v>51</v>
      </c>
      <c r="G135" s="10">
        <v>13.885</v>
      </c>
      <c r="H135" s="7">
        <v>45776.0</v>
      </c>
      <c r="I135" s="3" t="s">
        <v>670</v>
      </c>
      <c r="J135" s="3" t="s">
        <v>1002</v>
      </c>
      <c r="K135" s="3" t="s">
        <v>996</v>
      </c>
      <c r="L135" s="3" t="s">
        <v>72</v>
      </c>
      <c r="M135" s="4" t="str">
        <f>VLOOKUP(C135,Apoio!A:B,2,0)</f>
        <v>51-100</v>
      </c>
    </row>
    <row r="136">
      <c r="A136" s="3" t="s">
        <v>1004</v>
      </c>
      <c r="B136" s="3" t="s">
        <v>38</v>
      </c>
      <c r="C136" s="3" t="s">
        <v>61</v>
      </c>
      <c r="D136" s="3" t="s">
        <v>1005</v>
      </c>
      <c r="E136" s="3" t="s">
        <v>171</v>
      </c>
      <c r="F136" s="8" t="s">
        <v>52</v>
      </c>
      <c r="G136" s="10">
        <v>3.462</v>
      </c>
      <c r="H136" s="7">
        <v>45931.0</v>
      </c>
      <c r="I136" s="3" t="s">
        <v>68</v>
      </c>
      <c r="J136" s="3" t="s">
        <v>1006</v>
      </c>
      <c r="K136" s="3" t="s">
        <v>996</v>
      </c>
      <c r="L136" s="3" t="s">
        <v>172</v>
      </c>
      <c r="M136" s="4" t="str">
        <f>VLOOKUP(C136,Apoio!A:B,2,0)</f>
        <v>11-50</v>
      </c>
    </row>
    <row r="137">
      <c r="A137" s="3" t="s">
        <v>1009</v>
      </c>
      <c r="B137" s="3" t="s">
        <v>59</v>
      </c>
      <c r="C137" s="3" t="s">
        <v>61</v>
      </c>
      <c r="D137" s="3" t="s">
        <v>1011</v>
      </c>
      <c r="E137" s="3" t="s">
        <v>171</v>
      </c>
      <c r="F137" s="8" t="s">
        <v>52</v>
      </c>
      <c r="G137" s="3" t="s">
        <v>1012</v>
      </c>
      <c r="H137" s="7">
        <v>41737.0</v>
      </c>
      <c r="I137" s="3" t="s">
        <v>59</v>
      </c>
      <c r="J137" s="3" t="s">
        <v>1013</v>
      </c>
      <c r="K137" s="3" t="s">
        <v>1013</v>
      </c>
      <c r="L137" s="3" t="s">
        <v>68</v>
      </c>
      <c r="M137" s="4" t="str">
        <f>VLOOKUP(C137,Apoio!A:B,2,0)</f>
        <v>11-50</v>
      </c>
    </row>
    <row r="138">
      <c r="A138" s="3" t="s">
        <v>1014</v>
      </c>
      <c r="B138" s="3" t="s">
        <v>289</v>
      </c>
      <c r="C138" s="3" t="s">
        <v>109</v>
      </c>
      <c r="D138" s="3" t="s">
        <v>541</v>
      </c>
      <c r="E138" s="3" t="s">
        <v>46</v>
      </c>
      <c r="F138" s="1" t="s">
        <v>51</v>
      </c>
      <c r="G138" s="10">
        <v>19.999</v>
      </c>
      <c r="H138" s="7">
        <v>45707.0</v>
      </c>
      <c r="I138" s="3" t="s">
        <v>670</v>
      </c>
      <c r="J138" s="3" t="s">
        <v>1016</v>
      </c>
      <c r="K138" s="3" t="s">
        <v>1017</v>
      </c>
      <c r="L138" s="3" t="s">
        <v>172</v>
      </c>
      <c r="M138" s="4" t="str">
        <f>VLOOKUP(C138,Apoio!A:B,2,0)</f>
        <v>101-250</v>
      </c>
    </row>
    <row r="139">
      <c r="A139" s="3" t="s">
        <v>623</v>
      </c>
      <c r="B139" s="3" t="s">
        <v>59</v>
      </c>
      <c r="C139" s="3" t="s">
        <v>78</v>
      </c>
      <c r="D139" s="3" t="s">
        <v>624</v>
      </c>
      <c r="E139" s="3" t="s">
        <v>464</v>
      </c>
      <c r="F139" s="8" t="s">
        <v>52</v>
      </c>
      <c r="G139" s="10">
        <v>11.102</v>
      </c>
      <c r="H139" s="7">
        <v>45078.0</v>
      </c>
      <c r="I139" s="3" t="s">
        <v>59</v>
      </c>
      <c r="J139" s="3" t="s">
        <v>1021</v>
      </c>
      <c r="K139" s="3" t="s">
        <v>932</v>
      </c>
      <c r="L139" s="3" t="s">
        <v>672</v>
      </c>
      <c r="M139" s="4" t="str">
        <f>VLOOKUP(C139,Apoio!A:B,2,0)</f>
        <v>51-100</v>
      </c>
    </row>
    <row r="140">
      <c r="A140" s="3" t="s">
        <v>1022</v>
      </c>
      <c r="B140" s="3" t="s">
        <v>685</v>
      </c>
      <c r="C140" s="3" t="s">
        <v>321</v>
      </c>
      <c r="D140" s="3" t="s">
        <v>1023</v>
      </c>
      <c r="E140" s="3" t="s">
        <v>817</v>
      </c>
      <c r="F140" s="1" t="s">
        <v>51</v>
      </c>
      <c r="G140" s="10">
        <v>13.942</v>
      </c>
      <c r="H140" s="7">
        <v>46071.0</v>
      </c>
      <c r="I140" s="3" t="s">
        <v>364</v>
      </c>
      <c r="J140" s="3" t="s">
        <v>1024</v>
      </c>
      <c r="K140" s="3" t="s">
        <v>1025</v>
      </c>
      <c r="L140" s="3" t="s">
        <v>672</v>
      </c>
      <c r="M140" s="4" t="str">
        <f>VLOOKUP(C140,Apoio!A:B,2,0)</f>
        <v>10k+</v>
      </c>
    </row>
    <row r="141">
      <c r="A141" s="3" t="s">
        <v>1028</v>
      </c>
      <c r="B141" s="3" t="s">
        <v>76</v>
      </c>
      <c r="C141" s="3" t="s">
        <v>61</v>
      </c>
      <c r="D141" s="3" t="s">
        <v>1029</v>
      </c>
      <c r="E141" s="3" t="s">
        <v>171</v>
      </c>
      <c r="F141" s="8" t="s">
        <v>52</v>
      </c>
      <c r="G141" s="10">
        <v>96.816</v>
      </c>
      <c r="H141" s="7">
        <v>44691.0</v>
      </c>
      <c r="I141" s="3" t="s">
        <v>670</v>
      </c>
      <c r="J141" s="3" t="s">
        <v>1030</v>
      </c>
      <c r="K141" s="3" t="s">
        <v>1031</v>
      </c>
      <c r="L141" s="3" t="s">
        <v>68</v>
      </c>
      <c r="M141" s="4" t="str">
        <f>VLOOKUP(C141,Apoio!A:B,2,0)</f>
        <v>11-50</v>
      </c>
    </row>
    <row r="142">
      <c r="A142" s="3" t="s">
        <v>1034</v>
      </c>
      <c r="B142" s="3" t="s">
        <v>59</v>
      </c>
      <c r="C142" s="3" t="s">
        <v>61</v>
      </c>
      <c r="D142" s="3" t="s">
        <v>1035</v>
      </c>
      <c r="E142" s="3" t="s">
        <v>470</v>
      </c>
      <c r="F142" s="8" t="s">
        <v>52</v>
      </c>
      <c r="G142" s="3" t="s">
        <v>1036</v>
      </c>
      <c r="H142" s="7">
        <v>41875.0</v>
      </c>
      <c r="I142" s="3" t="s">
        <v>59</v>
      </c>
      <c r="J142" s="3" t="s">
        <v>1037</v>
      </c>
      <c r="K142" s="3" t="s">
        <v>1037</v>
      </c>
      <c r="L142" s="3" t="s">
        <v>68</v>
      </c>
      <c r="M142" s="4" t="str">
        <f>VLOOKUP(C142,Apoio!A:B,2,0)</f>
        <v>11-50</v>
      </c>
    </row>
    <row r="143">
      <c r="A143" s="3" t="s">
        <v>1038</v>
      </c>
      <c r="B143" s="3" t="s">
        <v>76</v>
      </c>
      <c r="C143" s="3" t="s">
        <v>61</v>
      </c>
      <c r="D143" s="3" t="s">
        <v>1039</v>
      </c>
      <c r="E143" s="3" t="s">
        <v>46</v>
      </c>
      <c r="F143" s="1" t="s">
        <v>51</v>
      </c>
      <c r="G143" s="10">
        <v>5.905</v>
      </c>
      <c r="H143" s="7">
        <v>45923.0</v>
      </c>
      <c r="I143" s="3" t="s">
        <v>670</v>
      </c>
      <c r="J143" s="3" t="s">
        <v>1040</v>
      </c>
      <c r="K143" s="3" t="s">
        <v>1041</v>
      </c>
      <c r="L143" s="3" t="s">
        <v>172</v>
      </c>
      <c r="M143" s="4" t="str">
        <f>VLOOKUP(C143,Apoio!A:B,2,0)</f>
        <v>11-50</v>
      </c>
    </row>
    <row r="144">
      <c r="A144" s="3" t="s">
        <v>1046</v>
      </c>
      <c r="B144" s="3" t="s">
        <v>38</v>
      </c>
      <c r="C144" s="3" t="s">
        <v>78</v>
      </c>
      <c r="D144" s="3" t="s">
        <v>1047</v>
      </c>
      <c r="E144" s="3" t="s">
        <v>171</v>
      </c>
      <c r="F144" s="8" t="s">
        <v>52</v>
      </c>
      <c r="G144" s="10">
        <v>324.007</v>
      </c>
      <c r="H144" s="7">
        <v>40008.0</v>
      </c>
      <c r="I144" s="3" t="s">
        <v>68</v>
      </c>
      <c r="J144" s="3" t="s">
        <v>1048</v>
      </c>
      <c r="K144" s="3" t="s">
        <v>1049</v>
      </c>
      <c r="L144" s="3" t="s">
        <v>672</v>
      </c>
      <c r="M144" s="4" t="str">
        <f>VLOOKUP(C144,Apoio!A:B,2,0)</f>
        <v>51-100</v>
      </c>
    </row>
    <row r="145">
      <c r="A145" s="3" t="s">
        <v>1050</v>
      </c>
      <c r="B145" s="3" t="s">
        <v>59</v>
      </c>
      <c r="C145" s="3" t="s">
        <v>61</v>
      </c>
      <c r="D145" s="3" t="s">
        <v>1051</v>
      </c>
      <c r="E145" s="3" t="s">
        <v>171</v>
      </c>
      <c r="F145" s="8" t="s">
        <v>52</v>
      </c>
      <c r="G145" s="10">
        <v>62.029</v>
      </c>
      <c r="H145" s="7">
        <v>44762.0</v>
      </c>
      <c r="I145" s="3" t="s">
        <v>59</v>
      </c>
      <c r="J145" s="3" t="s">
        <v>1052</v>
      </c>
      <c r="K145" s="3" t="s">
        <v>1052</v>
      </c>
      <c r="L145" s="3" t="s">
        <v>72</v>
      </c>
      <c r="M145" s="4" t="str">
        <f>VLOOKUP(C145,Apoio!A:B,2,0)</f>
        <v>11-50</v>
      </c>
    </row>
    <row r="146">
      <c r="A146" s="3" t="s">
        <v>1055</v>
      </c>
      <c r="B146" s="3" t="s">
        <v>59</v>
      </c>
      <c r="C146" s="3" t="s">
        <v>61</v>
      </c>
      <c r="D146" s="3" t="s">
        <v>1057</v>
      </c>
      <c r="E146" s="3" t="s">
        <v>908</v>
      </c>
      <c r="F146" s="8" t="s">
        <v>52</v>
      </c>
      <c r="G146" s="10">
        <v>88.12</v>
      </c>
      <c r="H146" s="7">
        <v>44655.0</v>
      </c>
      <c r="I146" s="3" t="s">
        <v>59</v>
      </c>
      <c r="J146" s="3" t="s">
        <v>1058</v>
      </c>
      <c r="K146" s="3" t="s">
        <v>1058</v>
      </c>
      <c r="L146" s="3" t="s">
        <v>72</v>
      </c>
      <c r="M146" s="4" t="str">
        <f>VLOOKUP(C146,Apoio!A:B,2,0)</f>
        <v>11-50</v>
      </c>
    </row>
    <row r="147">
      <c r="A147" s="3" t="s">
        <v>1059</v>
      </c>
      <c r="B147" s="3" t="s">
        <v>38</v>
      </c>
      <c r="C147" s="3" t="s">
        <v>61</v>
      </c>
      <c r="D147" s="3" t="s">
        <v>1060</v>
      </c>
      <c r="E147" s="3" t="s">
        <v>66</v>
      </c>
      <c r="F147" s="8" t="s">
        <v>52</v>
      </c>
      <c r="G147" s="3" t="s">
        <v>1061</v>
      </c>
      <c r="H147" s="7">
        <v>41834.0</v>
      </c>
      <c r="I147" s="3" t="s">
        <v>68</v>
      </c>
      <c r="J147" s="3" t="s">
        <v>1058</v>
      </c>
      <c r="K147" s="3" t="s">
        <v>1058</v>
      </c>
      <c r="L147" s="3" t="s">
        <v>68</v>
      </c>
      <c r="M147" s="4" t="str">
        <f>VLOOKUP(C147,Apoio!A:B,2,0)</f>
        <v>11-50</v>
      </c>
    </row>
    <row r="148">
      <c r="A148" s="3" t="s">
        <v>1065</v>
      </c>
      <c r="B148" s="3" t="s">
        <v>59</v>
      </c>
      <c r="C148" s="3" t="s">
        <v>61</v>
      </c>
      <c r="D148" s="3" t="s">
        <v>1066</v>
      </c>
      <c r="E148" s="3" t="s">
        <v>46</v>
      </c>
      <c r="F148" s="1" t="s">
        <v>51</v>
      </c>
      <c r="G148" s="10">
        <v>6.655</v>
      </c>
      <c r="H148" s="7">
        <v>46056.0</v>
      </c>
      <c r="I148" s="3" t="s">
        <v>59</v>
      </c>
      <c r="J148" s="3" t="s">
        <v>1068</v>
      </c>
      <c r="K148" s="3" t="s">
        <v>1069</v>
      </c>
      <c r="L148" s="3" t="s">
        <v>172</v>
      </c>
      <c r="M148" s="4" t="str">
        <f>VLOOKUP(C148,Apoio!A:B,2,0)</f>
        <v>11-50</v>
      </c>
    </row>
    <row r="149">
      <c r="A149" s="3" t="s">
        <v>1070</v>
      </c>
      <c r="B149" s="3" t="s">
        <v>289</v>
      </c>
      <c r="C149" s="3" t="s">
        <v>197</v>
      </c>
      <c r="D149" s="3" t="s">
        <v>1071</v>
      </c>
      <c r="E149" s="3" t="s">
        <v>1072</v>
      </c>
      <c r="F149" s="1" t="s">
        <v>51</v>
      </c>
      <c r="G149" s="10">
        <v>17.336</v>
      </c>
      <c r="H149" s="7">
        <v>45762.0</v>
      </c>
      <c r="I149" s="3" t="s">
        <v>670</v>
      </c>
      <c r="J149" s="3" t="s">
        <v>1073</v>
      </c>
      <c r="K149" s="3" t="s">
        <v>1074</v>
      </c>
      <c r="L149" s="3" t="s">
        <v>72</v>
      </c>
      <c r="M149" s="4" t="str">
        <f>VLOOKUP(C149,Apoio!A:B,2,0)</f>
        <v>501-1000</v>
      </c>
    </row>
    <row r="150">
      <c r="A150" s="3" t="s">
        <v>1076</v>
      </c>
      <c r="B150" s="3" t="s">
        <v>289</v>
      </c>
      <c r="C150" s="3" t="s">
        <v>109</v>
      </c>
      <c r="D150" s="3" t="s">
        <v>1077</v>
      </c>
      <c r="E150" s="3" t="s">
        <v>46</v>
      </c>
      <c r="F150" s="1" t="s">
        <v>51</v>
      </c>
      <c r="G150" s="10">
        <v>39.092</v>
      </c>
      <c r="H150" s="7">
        <v>44753.0</v>
      </c>
      <c r="I150" s="3" t="s">
        <v>670</v>
      </c>
      <c r="J150" s="3" t="s">
        <v>1078</v>
      </c>
      <c r="K150" s="3" t="s">
        <v>1074</v>
      </c>
      <c r="L150" s="3" t="s">
        <v>72</v>
      </c>
      <c r="M150" s="4" t="str">
        <f>VLOOKUP(C150,Apoio!A:B,2,0)</f>
        <v>101-250</v>
      </c>
    </row>
    <row r="151">
      <c r="A151" s="3" t="s">
        <v>651</v>
      </c>
      <c r="B151" s="3" t="s">
        <v>59</v>
      </c>
      <c r="C151" s="3" t="s">
        <v>61</v>
      </c>
      <c r="D151" s="3" t="s">
        <v>652</v>
      </c>
      <c r="E151" s="3" t="s">
        <v>188</v>
      </c>
      <c r="F151" s="1" t="s">
        <v>51</v>
      </c>
      <c r="G151" s="10">
        <v>9.457</v>
      </c>
      <c r="H151" s="7">
        <v>43831.0</v>
      </c>
      <c r="I151" s="3" t="s">
        <v>59</v>
      </c>
      <c r="J151" s="3" t="s">
        <v>1082</v>
      </c>
      <c r="K151" s="3" t="s">
        <v>1083</v>
      </c>
      <c r="L151" s="3" t="s">
        <v>672</v>
      </c>
      <c r="M151" s="4" t="str">
        <f>VLOOKUP(C151,Apoio!A:B,2,0)</f>
        <v>11-50</v>
      </c>
    </row>
    <row r="152">
      <c r="A152" s="3" t="s">
        <v>1084</v>
      </c>
      <c r="B152" s="3" t="s">
        <v>289</v>
      </c>
      <c r="C152" s="3" t="s">
        <v>109</v>
      </c>
      <c r="D152" s="3" t="s">
        <v>1085</v>
      </c>
      <c r="E152" s="3" t="s">
        <v>46</v>
      </c>
      <c r="F152" s="1" t="s">
        <v>51</v>
      </c>
      <c r="G152" s="10">
        <v>13.692</v>
      </c>
      <c r="H152" s="14">
        <v>45959.0</v>
      </c>
      <c r="I152" s="3" t="s">
        <v>670</v>
      </c>
      <c r="J152" s="3" t="s">
        <v>1086</v>
      </c>
      <c r="K152" s="3" t="s">
        <v>1087</v>
      </c>
      <c r="L152" s="3" t="s">
        <v>672</v>
      </c>
      <c r="M152" s="4" t="str">
        <f>VLOOKUP(C152,Apoio!A:B,2,0)</f>
        <v>101-250</v>
      </c>
    </row>
    <row r="153">
      <c r="A153" s="3" t="s">
        <v>1091</v>
      </c>
      <c r="B153" s="3" t="s">
        <v>289</v>
      </c>
      <c r="C153" s="3" t="s">
        <v>78</v>
      </c>
      <c r="D153" s="3" t="s">
        <v>1092</v>
      </c>
      <c r="E153" s="3" t="s">
        <v>46</v>
      </c>
      <c r="F153" s="1" t="s">
        <v>51</v>
      </c>
      <c r="G153" s="10">
        <v>14.988</v>
      </c>
      <c r="H153" s="7">
        <v>44662.0</v>
      </c>
      <c r="I153" s="3" t="s">
        <v>670</v>
      </c>
      <c r="J153" s="3" t="s">
        <v>1093</v>
      </c>
      <c r="K153" s="3" t="s">
        <v>1087</v>
      </c>
      <c r="L153" s="3" t="s">
        <v>72</v>
      </c>
      <c r="M153" s="4" t="str">
        <f>VLOOKUP(C153,Apoio!A:B,2,0)</f>
        <v>51-100</v>
      </c>
    </row>
    <row r="154">
      <c r="A154" s="3" t="s">
        <v>1094</v>
      </c>
      <c r="B154" s="3" t="s">
        <v>59</v>
      </c>
      <c r="C154" s="3" t="s">
        <v>61</v>
      </c>
      <c r="D154" s="3" t="s">
        <v>1096</v>
      </c>
      <c r="E154" s="3" t="s">
        <v>46</v>
      </c>
      <c r="F154" s="1" t="s">
        <v>51</v>
      </c>
      <c r="G154" s="10">
        <v>14.099</v>
      </c>
      <c r="H154" s="7">
        <v>46036.0</v>
      </c>
      <c r="I154" s="3" t="s">
        <v>59</v>
      </c>
      <c r="J154" s="3" t="s">
        <v>1098</v>
      </c>
      <c r="K154" s="3" t="s">
        <v>1099</v>
      </c>
      <c r="L154" s="3" t="s">
        <v>172</v>
      </c>
      <c r="M154" s="4" t="str">
        <f>VLOOKUP(C154,Apoio!A:B,2,0)</f>
        <v>11-50</v>
      </c>
    </row>
    <row r="155">
      <c r="A155" s="3" t="s">
        <v>1101</v>
      </c>
      <c r="B155" s="3" t="s">
        <v>59</v>
      </c>
      <c r="C155" s="3" t="s">
        <v>61</v>
      </c>
      <c r="D155" s="3" t="s">
        <v>1102</v>
      </c>
      <c r="E155" s="3" t="s">
        <v>46</v>
      </c>
      <c r="F155" s="1" t="s">
        <v>51</v>
      </c>
      <c r="G155" s="10">
        <v>30.894</v>
      </c>
      <c r="H155" s="7">
        <v>45709.0</v>
      </c>
      <c r="I155" s="3" t="s">
        <v>167</v>
      </c>
      <c r="J155" s="3" t="s">
        <v>1104</v>
      </c>
      <c r="K155" s="3" t="s">
        <v>1099</v>
      </c>
      <c r="L155" s="3" t="s">
        <v>172</v>
      </c>
      <c r="M155" s="4" t="str">
        <f>VLOOKUP(C155,Apoio!A:B,2,0)</f>
        <v>11-50</v>
      </c>
    </row>
    <row r="156">
      <c r="A156" s="3" t="s">
        <v>1108</v>
      </c>
      <c r="B156" s="3" t="s">
        <v>38</v>
      </c>
      <c r="C156" s="3" t="s">
        <v>78</v>
      </c>
      <c r="D156" s="3" t="s">
        <v>1109</v>
      </c>
      <c r="E156" s="3" t="s">
        <v>66</v>
      </c>
      <c r="F156" s="8" t="s">
        <v>52</v>
      </c>
      <c r="G156" s="10">
        <v>9.359</v>
      </c>
      <c r="H156" s="7">
        <v>45700.0</v>
      </c>
      <c r="I156" s="3" t="s">
        <v>68</v>
      </c>
      <c r="J156" s="3" t="s">
        <v>1110</v>
      </c>
      <c r="K156" s="3" t="s">
        <v>1111</v>
      </c>
      <c r="L156" s="3" t="s">
        <v>72</v>
      </c>
      <c r="M156" s="4" t="str">
        <f>VLOOKUP(C156,Apoio!A:B,2,0)</f>
        <v>51-100</v>
      </c>
    </row>
    <row r="157">
      <c r="A157" s="3" t="s">
        <v>1112</v>
      </c>
      <c r="B157" s="3" t="s">
        <v>76</v>
      </c>
      <c r="C157" s="3" t="s">
        <v>78</v>
      </c>
      <c r="D157" s="3" t="s">
        <v>1113</v>
      </c>
      <c r="E157" s="3" t="s">
        <v>46</v>
      </c>
      <c r="F157" s="1" t="s">
        <v>51</v>
      </c>
      <c r="G157" s="10">
        <v>7.833</v>
      </c>
      <c r="H157" s="7">
        <v>46067.0</v>
      </c>
      <c r="I157" s="3" t="s">
        <v>670</v>
      </c>
      <c r="J157" s="3" t="s">
        <v>1114</v>
      </c>
      <c r="K157" s="3" t="s">
        <v>1115</v>
      </c>
      <c r="L157" s="3" t="s">
        <v>672</v>
      </c>
      <c r="M157" s="4" t="str">
        <f>VLOOKUP(C157,Apoio!A:B,2,0)</f>
        <v>51-100</v>
      </c>
    </row>
    <row r="158">
      <c r="A158" s="3" t="s">
        <v>678</v>
      </c>
      <c r="B158" s="3" t="s">
        <v>76</v>
      </c>
      <c r="C158" s="3" t="s">
        <v>61</v>
      </c>
      <c r="D158" s="3" t="s">
        <v>682</v>
      </c>
      <c r="E158" s="3" t="s">
        <v>675</v>
      </c>
      <c r="F158" s="8" t="s">
        <v>52</v>
      </c>
      <c r="G158" s="10">
        <v>103.194</v>
      </c>
      <c r="H158" s="7">
        <v>45311.0</v>
      </c>
      <c r="I158" s="3" t="s">
        <v>670</v>
      </c>
      <c r="J158" s="3" t="s">
        <v>1119</v>
      </c>
      <c r="K158" s="3" t="s">
        <v>1119</v>
      </c>
      <c r="L158" s="3" t="s">
        <v>172</v>
      </c>
      <c r="M158" s="4" t="str">
        <f>VLOOKUP(C158,Apoio!A:B,2,0)</f>
        <v>11-50</v>
      </c>
    </row>
    <row r="159">
      <c r="A159" s="3" t="s">
        <v>1120</v>
      </c>
      <c r="B159" s="3" t="s">
        <v>38</v>
      </c>
      <c r="C159" s="3" t="s">
        <v>346</v>
      </c>
      <c r="D159" s="3" t="s">
        <v>1121</v>
      </c>
      <c r="E159" s="3" t="s">
        <v>46</v>
      </c>
      <c r="F159" s="1" t="s">
        <v>51</v>
      </c>
      <c r="G159" s="10">
        <v>6.628</v>
      </c>
      <c r="H159" s="14">
        <v>43816.0</v>
      </c>
      <c r="I159" s="3" t="s">
        <v>364</v>
      </c>
      <c r="J159" s="3" t="s">
        <v>1123</v>
      </c>
      <c r="K159" s="3" t="s">
        <v>1124</v>
      </c>
      <c r="L159" s="3" t="s">
        <v>72</v>
      </c>
      <c r="M159" s="4" t="str">
        <f>VLOOKUP(C159,Apoio!A:B,2,0)</f>
        <v>1k-5k</v>
      </c>
    </row>
    <row r="160">
      <c r="A160" s="3" t="s">
        <v>1127</v>
      </c>
      <c r="B160" s="3" t="s">
        <v>289</v>
      </c>
      <c r="C160" s="3" t="s">
        <v>109</v>
      </c>
      <c r="D160" s="3" t="s">
        <v>1128</v>
      </c>
      <c r="E160" s="3" t="s">
        <v>46</v>
      </c>
      <c r="F160" s="1" t="s">
        <v>51</v>
      </c>
      <c r="G160" s="10">
        <v>12.817</v>
      </c>
      <c r="H160" s="7">
        <v>44678.0</v>
      </c>
      <c r="I160" s="3" t="s">
        <v>670</v>
      </c>
      <c r="J160" s="3" t="s">
        <v>1130</v>
      </c>
      <c r="K160" s="3" t="s">
        <v>1131</v>
      </c>
      <c r="L160" s="3" t="s">
        <v>72</v>
      </c>
      <c r="M160" s="4" t="str">
        <f>VLOOKUP(C160,Apoio!A:B,2,0)</f>
        <v>101-250</v>
      </c>
    </row>
    <row r="161">
      <c r="A161" s="3" t="s">
        <v>1133</v>
      </c>
      <c r="B161" s="3" t="s">
        <v>289</v>
      </c>
      <c r="C161" s="3" t="s">
        <v>109</v>
      </c>
      <c r="D161" s="3" t="s">
        <v>1134</v>
      </c>
      <c r="E161" s="3" t="s">
        <v>46</v>
      </c>
      <c r="F161" s="1" t="s">
        <v>51</v>
      </c>
      <c r="G161" s="10">
        <v>15.159</v>
      </c>
      <c r="H161" s="7">
        <v>45503.0</v>
      </c>
      <c r="I161" s="3" t="s">
        <v>670</v>
      </c>
      <c r="J161" s="3" t="s">
        <v>1135</v>
      </c>
      <c r="K161" s="3" t="s">
        <v>1131</v>
      </c>
      <c r="L161" s="3" t="s">
        <v>672</v>
      </c>
      <c r="M161" s="4" t="str">
        <f>VLOOKUP(C161,Apoio!A:B,2,0)</f>
        <v>101-250</v>
      </c>
    </row>
    <row r="162">
      <c r="A162" s="3" t="s">
        <v>1136</v>
      </c>
      <c r="B162" s="3" t="s">
        <v>59</v>
      </c>
      <c r="C162" s="3" t="s">
        <v>61</v>
      </c>
      <c r="D162" s="3" t="s">
        <v>1137</v>
      </c>
      <c r="E162" s="3" t="s">
        <v>46</v>
      </c>
      <c r="F162" s="1" t="s">
        <v>51</v>
      </c>
      <c r="G162" s="10">
        <v>7.24</v>
      </c>
      <c r="H162" s="7">
        <v>44629.0</v>
      </c>
      <c r="I162" s="3" t="s">
        <v>59</v>
      </c>
      <c r="J162" s="3" t="s">
        <v>1138</v>
      </c>
      <c r="K162" s="3" t="s">
        <v>1138</v>
      </c>
      <c r="L162" s="3" t="s">
        <v>172</v>
      </c>
      <c r="M162" s="4" t="str">
        <f>VLOOKUP(C162,Apoio!A:B,2,0)</f>
        <v>11-50</v>
      </c>
    </row>
    <row r="163">
      <c r="A163" s="3" t="s">
        <v>1140</v>
      </c>
      <c r="B163" s="3" t="s">
        <v>685</v>
      </c>
      <c r="C163" s="3" t="s">
        <v>330</v>
      </c>
      <c r="D163" s="3" t="s">
        <v>1141</v>
      </c>
      <c r="E163" s="3" t="s">
        <v>46</v>
      </c>
      <c r="F163" s="1" t="s">
        <v>51</v>
      </c>
      <c r="G163" s="10">
        <v>9.565</v>
      </c>
      <c r="H163" s="7">
        <v>45996.0</v>
      </c>
      <c r="I163" s="3" t="s">
        <v>364</v>
      </c>
      <c r="J163" s="3" t="s">
        <v>1138</v>
      </c>
      <c r="K163" s="3" t="s">
        <v>1138</v>
      </c>
      <c r="L163" s="3" t="s">
        <v>172</v>
      </c>
      <c r="M163" s="4" t="str">
        <f>VLOOKUP(C163,Apoio!A:B,2,0)</f>
        <v>501-1000</v>
      </c>
    </row>
    <row r="164">
      <c r="A164" s="3" t="s">
        <v>1143</v>
      </c>
      <c r="B164" s="3" t="s">
        <v>59</v>
      </c>
      <c r="C164" s="3" t="s">
        <v>61</v>
      </c>
      <c r="D164" s="3" t="s">
        <v>422</v>
      </c>
      <c r="E164" s="3" t="s">
        <v>817</v>
      </c>
      <c r="F164" s="1" t="s">
        <v>51</v>
      </c>
      <c r="G164" s="10">
        <v>28.036</v>
      </c>
      <c r="H164" s="7">
        <v>45475.0</v>
      </c>
      <c r="I164" s="3" t="s">
        <v>59</v>
      </c>
      <c r="J164" s="3" t="s">
        <v>1138</v>
      </c>
      <c r="K164" s="3" t="s">
        <v>1138</v>
      </c>
      <c r="L164" s="3" t="s">
        <v>172</v>
      </c>
      <c r="M164" s="4" t="str">
        <f>VLOOKUP(C164,Apoio!A:B,2,0)</f>
        <v>11-50</v>
      </c>
    </row>
    <row r="165">
      <c r="A165" s="3" t="s">
        <v>1146</v>
      </c>
      <c r="B165" s="3" t="s">
        <v>76</v>
      </c>
      <c r="C165" s="3" t="s">
        <v>61</v>
      </c>
      <c r="D165" s="3" t="s">
        <v>1147</v>
      </c>
      <c r="E165" s="3" t="s">
        <v>171</v>
      </c>
      <c r="F165" s="8" t="s">
        <v>52</v>
      </c>
      <c r="G165" s="10">
        <v>23.229</v>
      </c>
      <c r="H165" s="7">
        <v>45910.0</v>
      </c>
      <c r="I165" s="3" t="s">
        <v>670</v>
      </c>
      <c r="J165" s="3" t="s">
        <v>1148</v>
      </c>
      <c r="K165" s="3" t="s">
        <v>1138</v>
      </c>
      <c r="L165" s="3" t="s">
        <v>672</v>
      </c>
      <c r="M165" s="4" t="str">
        <f>VLOOKUP(C165,Apoio!A:B,2,0)</f>
        <v>11-50</v>
      </c>
    </row>
    <row r="166">
      <c r="A166" s="3" t="s">
        <v>1151</v>
      </c>
      <c r="B166" s="3" t="s">
        <v>752</v>
      </c>
      <c r="C166" s="3" t="s">
        <v>61</v>
      </c>
      <c r="D166" s="3" t="s">
        <v>1152</v>
      </c>
      <c r="E166" s="3" t="s">
        <v>408</v>
      </c>
      <c r="F166" s="8" t="s">
        <v>52</v>
      </c>
      <c r="G166" s="10">
        <v>507.938</v>
      </c>
      <c r="H166" s="7">
        <v>39085.0</v>
      </c>
      <c r="I166" s="3" t="s">
        <v>167</v>
      </c>
      <c r="J166" s="3" t="s">
        <v>1154</v>
      </c>
      <c r="K166" s="3" t="s">
        <v>1155</v>
      </c>
      <c r="L166" s="3" t="s">
        <v>172</v>
      </c>
      <c r="M166" s="4" t="str">
        <f>VLOOKUP(C166,Apoio!A:B,2,0)</f>
        <v>11-50</v>
      </c>
    </row>
    <row r="167">
      <c r="A167" s="3" t="s">
        <v>1157</v>
      </c>
      <c r="B167" s="3" t="s">
        <v>752</v>
      </c>
      <c r="C167" s="3" t="s">
        <v>346</v>
      </c>
      <c r="D167" s="3" t="s">
        <v>1158</v>
      </c>
      <c r="E167" s="3" t="s">
        <v>46</v>
      </c>
      <c r="F167" s="1" t="s">
        <v>51</v>
      </c>
      <c r="G167" s="10">
        <v>10.484</v>
      </c>
      <c r="H167" s="14">
        <v>45615.0</v>
      </c>
      <c r="I167" s="3" t="s">
        <v>736</v>
      </c>
      <c r="J167" s="3" t="s">
        <v>1159</v>
      </c>
      <c r="K167" s="3" t="s">
        <v>1160</v>
      </c>
      <c r="L167" s="3" t="s">
        <v>672</v>
      </c>
      <c r="M167" s="4" t="str">
        <f>VLOOKUP(C167,Apoio!A:B,2,0)</f>
        <v>1k-5k</v>
      </c>
    </row>
    <row r="168">
      <c r="A168" s="3" t="s">
        <v>1162</v>
      </c>
      <c r="B168" s="3" t="s">
        <v>289</v>
      </c>
      <c r="C168" s="3" t="s">
        <v>109</v>
      </c>
      <c r="D168" s="3" t="s">
        <v>1164</v>
      </c>
      <c r="E168" s="3" t="s">
        <v>46</v>
      </c>
      <c r="F168" s="1" t="s">
        <v>51</v>
      </c>
      <c r="G168" s="10">
        <v>12.203</v>
      </c>
      <c r="H168" s="7">
        <v>45869.0</v>
      </c>
      <c r="I168" s="3" t="s">
        <v>670</v>
      </c>
      <c r="J168" s="3" t="s">
        <v>1165</v>
      </c>
      <c r="K168" s="3" t="s">
        <v>1166</v>
      </c>
      <c r="L168" s="3" t="s">
        <v>672</v>
      </c>
      <c r="M168" s="4" t="str">
        <f>VLOOKUP(C168,Apoio!A:B,2,0)</f>
        <v>101-250</v>
      </c>
    </row>
    <row r="169">
      <c r="A169" s="3" t="s">
        <v>527</v>
      </c>
      <c r="B169" s="3" t="s">
        <v>59</v>
      </c>
      <c r="C169" s="3" t="s">
        <v>61</v>
      </c>
      <c r="D169" s="3" t="s">
        <v>528</v>
      </c>
      <c r="E169" s="3" t="s">
        <v>171</v>
      </c>
      <c r="F169" s="8" t="s">
        <v>52</v>
      </c>
      <c r="G169" s="10">
        <v>55.96</v>
      </c>
      <c r="H169" s="7">
        <v>45168.0</v>
      </c>
      <c r="I169" s="3" t="s">
        <v>59</v>
      </c>
      <c r="J169" s="3" t="s">
        <v>1169</v>
      </c>
      <c r="K169" s="3" t="s">
        <v>1170</v>
      </c>
      <c r="L169" s="3" t="s">
        <v>172</v>
      </c>
      <c r="M169" s="4" t="str">
        <f>VLOOKUP(C169,Apoio!A:B,2,0)</f>
        <v>11-50</v>
      </c>
    </row>
    <row r="170">
      <c r="A170" s="3" t="s">
        <v>1171</v>
      </c>
      <c r="B170" s="3" t="s">
        <v>76</v>
      </c>
      <c r="C170" s="3" t="s">
        <v>61</v>
      </c>
      <c r="D170" s="3" t="s">
        <v>1172</v>
      </c>
      <c r="E170" s="3" t="s">
        <v>66</v>
      </c>
      <c r="F170" s="8" t="s">
        <v>52</v>
      </c>
      <c r="G170" s="10">
        <v>43.433</v>
      </c>
      <c r="H170" s="14">
        <v>44845.0</v>
      </c>
      <c r="I170" s="3" t="s">
        <v>670</v>
      </c>
      <c r="J170" s="3" t="s">
        <v>1173</v>
      </c>
      <c r="K170" s="3" t="s">
        <v>1174</v>
      </c>
      <c r="L170" s="3" t="s">
        <v>72</v>
      </c>
      <c r="M170" s="4" t="str">
        <f>VLOOKUP(C170,Apoio!A:B,2,0)</f>
        <v>11-50</v>
      </c>
    </row>
    <row r="171">
      <c r="A171" s="3" t="s">
        <v>1179</v>
      </c>
      <c r="B171" s="3" t="s">
        <v>289</v>
      </c>
      <c r="C171" s="3" t="s">
        <v>61</v>
      </c>
      <c r="D171" s="3" t="s">
        <v>1180</v>
      </c>
      <c r="E171" s="3" t="s">
        <v>970</v>
      </c>
      <c r="F171" s="8" t="s">
        <v>52</v>
      </c>
      <c r="G171" s="10">
        <v>918.113</v>
      </c>
      <c r="H171" s="7">
        <v>39579.0</v>
      </c>
      <c r="I171" s="3" t="s">
        <v>670</v>
      </c>
      <c r="J171" s="3" t="s">
        <v>1181</v>
      </c>
      <c r="K171" s="3" t="s">
        <v>1181</v>
      </c>
      <c r="L171" s="3" t="s">
        <v>68</v>
      </c>
      <c r="M171" s="4" t="str">
        <f>VLOOKUP(C171,Apoio!A:B,2,0)</f>
        <v>11-50</v>
      </c>
    </row>
    <row r="172">
      <c r="A172" s="3" t="s">
        <v>757</v>
      </c>
      <c r="B172" s="3" t="s">
        <v>59</v>
      </c>
      <c r="C172" s="3" t="s">
        <v>61</v>
      </c>
      <c r="D172" s="3" t="s">
        <v>759</v>
      </c>
      <c r="E172" s="3" t="s">
        <v>46</v>
      </c>
      <c r="F172" s="1" t="s">
        <v>51</v>
      </c>
      <c r="G172" s="10">
        <v>99.455</v>
      </c>
      <c r="H172" s="7">
        <v>45931.0</v>
      </c>
      <c r="I172" s="3" t="s">
        <v>59</v>
      </c>
      <c r="J172" s="3" t="s">
        <v>1182</v>
      </c>
      <c r="K172" s="3" t="s">
        <v>1183</v>
      </c>
      <c r="L172" s="3" t="s">
        <v>72</v>
      </c>
      <c r="M172" s="4" t="str">
        <f>VLOOKUP(C172,Apoio!A:B,2,0)</f>
        <v>11-50</v>
      </c>
    </row>
    <row r="173">
      <c r="A173" s="3" t="s">
        <v>1187</v>
      </c>
      <c r="B173" s="3" t="s">
        <v>565</v>
      </c>
      <c r="C173" s="3" t="s">
        <v>330</v>
      </c>
      <c r="D173" s="3" t="s">
        <v>1188</v>
      </c>
      <c r="E173" s="3" t="s">
        <v>397</v>
      </c>
      <c r="F173" s="8" t="s">
        <v>52</v>
      </c>
      <c r="G173" s="10">
        <v>659.0</v>
      </c>
      <c r="H173" s="7">
        <v>45932.0</v>
      </c>
      <c r="I173" s="3" t="s">
        <v>1189</v>
      </c>
      <c r="J173" s="3" t="s">
        <v>1190</v>
      </c>
      <c r="K173" s="3" t="s">
        <v>1191</v>
      </c>
      <c r="L173" s="3" t="s">
        <v>672</v>
      </c>
      <c r="M173" s="4" t="str">
        <f>VLOOKUP(C173,Apoio!A:B,2,0)</f>
        <v>501-1000</v>
      </c>
    </row>
    <row r="174">
      <c r="A174" s="3" t="s">
        <v>798</v>
      </c>
      <c r="B174" s="3" t="s">
        <v>59</v>
      </c>
      <c r="C174" s="3" t="s">
        <v>61</v>
      </c>
      <c r="D174" s="3" t="s">
        <v>799</v>
      </c>
      <c r="E174" s="3" t="s">
        <v>171</v>
      </c>
      <c r="F174" s="8" t="s">
        <v>52</v>
      </c>
      <c r="G174" s="10">
        <v>46.611</v>
      </c>
      <c r="H174" s="7">
        <v>43861.0</v>
      </c>
      <c r="I174" s="3" t="s">
        <v>59</v>
      </c>
      <c r="J174" s="3" t="s">
        <v>660</v>
      </c>
      <c r="K174" s="3" t="s">
        <v>1194</v>
      </c>
      <c r="L174" s="3" t="s">
        <v>672</v>
      </c>
      <c r="M174" s="4" t="str">
        <f>VLOOKUP(C174,Apoio!A:B,2,0)</f>
        <v>11-50</v>
      </c>
    </row>
    <row r="175">
      <c r="A175" s="3" t="s">
        <v>1198</v>
      </c>
      <c r="B175" s="3" t="s">
        <v>685</v>
      </c>
      <c r="C175" s="3" t="s">
        <v>321</v>
      </c>
      <c r="D175" s="3" t="s">
        <v>1199</v>
      </c>
      <c r="E175" s="3" t="s">
        <v>188</v>
      </c>
      <c r="F175" s="1" t="s">
        <v>51</v>
      </c>
      <c r="G175" s="10">
        <v>15.705</v>
      </c>
      <c r="H175" s="7">
        <v>45681.0</v>
      </c>
      <c r="I175" s="3" t="s">
        <v>364</v>
      </c>
      <c r="J175" s="3" t="s">
        <v>1200</v>
      </c>
      <c r="K175" s="3" t="s">
        <v>1201</v>
      </c>
      <c r="L175" s="3" t="s">
        <v>72</v>
      </c>
      <c r="M175" s="4" t="str">
        <f>VLOOKUP(C175,Apoio!A:B,2,0)</f>
        <v>10k+</v>
      </c>
    </row>
    <row r="176">
      <c r="A176" s="3" t="s">
        <v>1202</v>
      </c>
      <c r="B176" s="3" t="s">
        <v>76</v>
      </c>
      <c r="C176" s="3" t="s">
        <v>61</v>
      </c>
      <c r="D176" s="3" t="s">
        <v>1204</v>
      </c>
      <c r="E176" s="3" t="s">
        <v>171</v>
      </c>
      <c r="F176" s="8" t="s">
        <v>52</v>
      </c>
      <c r="G176" s="10">
        <v>670.229</v>
      </c>
      <c r="H176" s="7">
        <v>39582.0</v>
      </c>
      <c r="I176" s="3" t="s">
        <v>670</v>
      </c>
      <c r="J176" s="3" t="s">
        <v>1205</v>
      </c>
      <c r="K176" s="3" t="s">
        <v>1205</v>
      </c>
      <c r="L176" s="3" t="s">
        <v>172</v>
      </c>
      <c r="M176" s="4" t="str">
        <f>VLOOKUP(C176,Apoio!A:B,2,0)</f>
        <v>11-50</v>
      </c>
    </row>
    <row r="177">
      <c r="A177" s="3" t="s">
        <v>1207</v>
      </c>
      <c r="B177" s="3" t="s">
        <v>76</v>
      </c>
      <c r="C177" s="3" t="s">
        <v>61</v>
      </c>
      <c r="D177" s="3" t="s">
        <v>1208</v>
      </c>
      <c r="E177" s="3" t="s">
        <v>46</v>
      </c>
      <c r="F177" s="1" t="s">
        <v>51</v>
      </c>
      <c r="G177" s="10">
        <v>13.589</v>
      </c>
      <c r="H177" s="7">
        <v>45569.0</v>
      </c>
      <c r="I177" s="3" t="s">
        <v>670</v>
      </c>
      <c r="J177" s="3" t="s">
        <v>1209</v>
      </c>
      <c r="K177" s="3" t="s">
        <v>1210</v>
      </c>
      <c r="L177" s="3" t="s">
        <v>72</v>
      </c>
      <c r="M177" s="4" t="str">
        <f>VLOOKUP(C177,Apoio!A:B,2,0)</f>
        <v>11-50</v>
      </c>
    </row>
    <row r="178">
      <c r="A178" s="3" t="s">
        <v>1213</v>
      </c>
      <c r="B178" s="3" t="s">
        <v>59</v>
      </c>
      <c r="C178" s="3" t="s">
        <v>61</v>
      </c>
      <c r="D178" s="3" t="s">
        <v>1214</v>
      </c>
      <c r="E178" s="3" t="s">
        <v>171</v>
      </c>
      <c r="F178" s="8" t="s">
        <v>52</v>
      </c>
      <c r="G178" s="10">
        <v>46.362</v>
      </c>
      <c r="H178" s="14">
        <v>44882.0</v>
      </c>
      <c r="I178" s="3" t="s">
        <v>59</v>
      </c>
      <c r="J178" s="3" t="s">
        <v>1215</v>
      </c>
      <c r="K178" s="3" t="s">
        <v>1216</v>
      </c>
      <c r="L178" s="3" t="s">
        <v>72</v>
      </c>
      <c r="M178" s="4" t="str">
        <f>VLOOKUP(C178,Apoio!A:B,2,0)</f>
        <v>11-50</v>
      </c>
    </row>
    <row r="179">
      <c r="A179" s="3" t="s">
        <v>1218</v>
      </c>
      <c r="B179" s="3" t="s">
        <v>38</v>
      </c>
      <c r="C179" s="3" t="s">
        <v>41</v>
      </c>
      <c r="D179" s="3" t="s">
        <v>1219</v>
      </c>
      <c r="E179" s="3" t="s">
        <v>404</v>
      </c>
      <c r="F179" s="1" t="s">
        <v>51</v>
      </c>
      <c r="G179" s="10">
        <v>15.358</v>
      </c>
      <c r="H179" s="14">
        <v>45229.0</v>
      </c>
      <c r="I179" s="3" t="s">
        <v>68</v>
      </c>
      <c r="J179" s="3" t="s">
        <v>1221</v>
      </c>
      <c r="K179" s="3" t="s">
        <v>1222</v>
      </c>
      <c r="L179" s="3" t="s">
        <v>172</v>
      </c>
      <c r="M179" s="4" t="str">
        <f>VLOOKUP(C179,Apoio!A:B,2,0)</f>
        <v>251-500</v>
      </c>
    </row>
    <row r="180">
      <c r="A180" s="3" t="s">
        <v>834</v>
      </c>
      <c r="B180" s="3" t="s">
        <v>59</v>
      </c>
      <c r="C180" s="3" t="s">
        <v>61</v>
      </c>
      <c r="D180" s="3" t="s">
        <v>835</v>
      </c>
      <c r="E180" s="3" t="s">
        <v>171</v>
      </c>
      <c r="F180" s="8" t="s">
        <v>52</v>
      </c>
      <c r="G180" s="10">
        <v>60.981</v>
      </c>
      <c r="H180" s="7">
        <v>44091.0</v>
      </c>
      <c r="I180" s="3" t="s">
        <v>59</v>
      </c>
      <c r="J180" s="3" t="s">
        <v>1225</v>
      </c>
      <c r="K180" s="3" t="s">
        <v>1225</v>
      </c>
      <c r="L180" s="3" t="s">
        <v>72</v>
      </c>
      <c r="M180" s="4" t="str">
        <f>VLOOKUP(C180,Apoio!A:B,2,0)</f>
        <v>11-50</v>
      </c>
    </row>
    <row r="181">
      <c r="A181" s="3" t="s">
        <v>1226</v>
      </c>
      <c r="B181" s="3" t="s">
        <v>59</v>
      </c>
      <c r="C181" s="3" t="s">
        <v>61</v>
      </c>
      <c r="D181" s="3" t="s">
        <v>1227</v>
      </c>
      <c r="E181" s="3" t="s">
        <v>46</v>
      </c>
      <c r="F181" s="1" t="s">
        <v>51</v>
      </c>
      <c r="G181" s="10">
        <v>23.493</v>
      </c>
      <c r="H181" s="14">
        <v>45940.0</v>
      </c>
      <c r="I181" s="3" t="s">
        <v>59</v>
      </c>
      <c r="J181" s="3" t="s">
        <v>1228</v>
      </c>
      <c r="K181" s="3" t="s">
        <v>1228</v>
      </c>
      <c r="L181" s="3" t="s">
        <v>172</v>
      </c>
      <c r="M181" s="4" t="str">
        <f>VLOOKUP(C181,Apoio!A:B,2,0)</f>
        <v>11-50</v>
      </c>
    </row>
    <row r="182">
      <c r="A182" s="3" t="s">
        <v>1226</v>
      </c>
      <c r="B182" s="3" t="s">
        <v>59</v>
      </c>
      <c r="C182" s="3" t="s">
        <v>61</v>
      </c>
      <c r="D182" s="3" t="s">
        <v>1230</v>
      </c>
      <c r="E182" s="3" t="s">
        <v>46</v>
      </c>
      <c r="F182" s="1" t="s">
        <v>51</v>
      </c>
      <c r="G182" s="10">
        <v>23.493</v>
      </c>
      <c r="H182" s="14">
        <v>45940.0</v>
      </c>
      <c r="I182" s="3" t="s">
        <v>59</v>
      </c>
      <c r="J182" s="3" t="s">
        <v>1228</v>
      </c>
      <c r="K182" s="3" t="s">
        <v>1228</v>
      </c>
      <c r="L182" s="3" t="s">
        <v>172</v>
      </c>
      <c r="M182" s="4" t="str">
        <f>VLOOKUP(C182,Apoio!A:B,2,0)</f>
        <v>11-50</v>
      </c>
    </row>
    <row r="183">
      <c r="A183" s="3" t="s">
        <v>1232</v>
      </c>
      <c r="B183" s="3" t="s">
        <v>59</v>
      </c>
      <c r="C183" s="3" t="s">
        <v>61</v>
      </c>
      <c r="D183" s="3" t="s">
        <v>1233</v>
      </c>
      <c r="E183" s="3" t="s">
        <v>66</v>
      </c>
      <c r="F183" s="8" t="s">
        <v>52</v>
      </c>
      <c r="G183" s="3" t="s">
        <v>1234</v>
      </c>
      <c r="H183" s="7">
        <v>41487.0</v>
      </c>
      <c r="I183" s="3" t="s">
        <v>59</v>
      </c>
      <c r="J183" s="3" t="s">
        <v>1235</v>
      </c>
      <c r="K183" s="3" t="s">
        <v>1235</v>
      </c>
      <c r="L183" s="3" t="s">
        <v>68</v>
      </c>
      <c r="M183" s="4" t="str">
        <f>VLOOKUP(C183,Apoio!A:B,2,0)</f>
        <v>11-50</v>
      </c>
    </row>
    <row r="184">
      <c r="A184" s="3" t="s">
        <v>1238</v>
      </c>
      <c r="B184" s="3" t="s">
        <v>685</v>
      </c>
      <c r="C184" s="3" t="s">
        <v>197</v>
      </c>
      <c r="D184" s="3" t="s">
        <v>1239</v>
      </c>
      <c r="E184" s="3" t="s">
        <v>46</v>
      </c>
      <c r="F184" s="1" t="s">
        <v>51</v>
      </c>
      <c r="G184" s="10">
        <v>27.556</v>
      </c>
      <c r="H184" s="7">
        <v>44777.0</v>
      </c>
      <c r="I184" s="3" t="s">
        <v>364</v>
      </c>
      <c r="J184" s="3" t="s">
        <v>1241</v>
      </c>
      <c r="K184" s="3" t="s">
        <v>1242</v>
      </c>
      <c r="L184" s="3" t="s">
        <v>172</v>
      </c>
      <c r="M184" s="4" t="str">
        <f>VLOOKUP(C184,Apoio!A:B,2,0)</f>
        <v>501-1000</v>
      </c>
    </row>
    <row r="185">
      <c r="A185" s="3" t="s">
        <v>1243</v>
      </c>
      <c r="B185" s="3" t="s">
        <v>38</v>
      </c>
      <c r="C185" s="3" t="s">
        <v>1245</v>
      </c>
      <c r="D185" s="3" t="s">
        <v>1246</v>
      </c>
      <c r="E185" s="3" t="s">
        <v>171</v>
      </c>
      <c r="F185" s="8" t="s">
        <v>52</v>
      </c>
      <c r="G185" s="10">
        <v>2.398</v>
      </c>
      <c r="H185" s="7">
        <v>45783.0</v>
      </c>
      <c r="I185" s="3" t="s">
        <v>68</v>
      </c>
      <c r="J185" s="3" t="s">
        <v>1247</v>
      </c>
      <c r="K185" s="3" t="s">
        <v>1248</v>
      </c>
      <c r="L185" s="3" t="s">
        <v>672</v>
      </c>
      <c r="M185" s="4" t="str">
        <f>VLOOKUP(C185,Apoio!A:B,2,0)</f>
        <v>1k-5k</v>
      </c>
    </row>
    <row r="186">
      <c r="A186" s="3" t="s">
        <v>1249</v>
      </c>
      <c r="B186" s="3" t="s">
        <v>59</v>
      </c>
      <c r="C186" s="3" t="s">
        <v>61</v>
      </c>
      <c r="D186" s="3" t="s">
        <v>1250</v>
      </c>
      <c r="E186" s="3" t="s">
        <v>710</v>
      </c>
      <c r="F186" s="8" t="s">
        <v>52</v>
      </c>
      <c r="G186" s="10">
        <v>16.744</v>
      </c>
      <c r="H186" s="7">
        <v>43518.0</v>
      </c>
      <c r="I186" s="3" t="s">
        <v>59</v>
      </c>
      <c r="J186" s="3" t="s">
        <v>1252</v>
      </c>
      <c r="K186" s="3" t="s">
        <v>1254</v>
      </c>
      <c r="L186" s="3" t="s">
        <v>68</v>
      </c>
      <c r="M186" s="4" t="str">
        <f>VLOOKUP(C186,Apoio!A:B,2,0)</f>
        <v>11-50</v>
      </c>
    </row>
    <row r="187">
      <c r="A187" s="3" t="s">
        <v>919</v>
      </c>
      <c r="B187" s="3" t="s">
        <v>59</v>
      </c>
      <c r="C187" s="3" t="s">
        <v>61</v>
      </c>
      <c r="D187" s="3" t="s">
        <v>921</v>
      </c>
      <c r="E187" s="3" t="s">
        <v>171</v>
      </c>
      <c r="F187" s="8" t="s">
        <v>52</v>
      </c>
      <c r="G187" s="10">
        <v>58.383</v>
      </c>
      <c r="H187" s="7">
        <v>45770.0</v>
      </c>
      <c r="I187" s="3" t="s">
        <v>59</v>
      </c>
      <c r="J187" s="3" t="s">
        <v>1254</v>
      </c>
      <c r="K187" s="3" t="s">
        <v>1254</v>
      </c>
      <c r="L187" s="3" t="s">
        <v>72</v>
      </c>
      <c r="M187" s="4" t="str">
        <f>VLOOKUP(C187,Apoio!A:B,2,0)</f>
        <v>11-50</v>
      </c>
    </row>
    <row r="188">
      <c r="A188" s="3" t="s">
        <v>928</v>
      </c>
      <c r="B188" s="3" t="s">
        <v>38</v>
      </c>
      <c r="C188" s="3" t="s">
        <v>61</v>
      </c>
      <c r="D188" s="3" t="s">
        <v>929</v>
      </c>
      <c r="E188" s="3" t="s">
        <v>710</v>
      </c>
      <c r="F188" s="8" t="s">
        <v>52</v>
      </c>
      <c r="G188" s="10">
        <v>86.462</v>
      </c>
      <c r="H188" s="7">
        <v>43920.0</v>
      </c>
      <c r="I188" s="3" t="s">
        <v>68</v>
      </c>
      <c r="J188" s="3" t="s">
        <v>1254</v>
      </c>
      <c r="K188" s="3" t="s">
        <v>1254</v>
      </c>
      <c r="L188" s="3" t="s">
        <v>72</v>
      </c>
      <c r="M188" s="4" t="str">
        <f>VLOOKUP(C188,Apoio!A:B,2,0)</f>
        <v>11-50</v>
      </c>
    </row>
    <row r="189">
      <c r="A189" s="3" t="s">
        <v>937</v>
      </c>
      <c r="B189" s="3" t="s">
        <v>59</v>
      </c>
      <c r="C189" s="3" t="s">
        <v>61</v>
      </c>
      <c r="D189" s="3" t="s">
        <v>940</v>
      </c>
      <c r="E189" s="3" t="s">
        <v>356</v>
      </c>
      <c r="F189" s="8" t="s">
        <v>52</v>
      </c>
      <c r="G189" s="10">
        <v>409.792</v>
      </c>
      <c r="H189" s="7">
        <v>41844.0</v>
      </c>
      <c r="I189" s="3" t="s">
        <v>59</v>
      </c>
      <c r="J189" s="3" t="s">
        <v>1254</v>
      </c>
      <c r="K189" s="3" t="s">
        <v>1254</v>
      </c>
      <c r="L189" s="3" t="s">
        <v>72</v>
      </c>
      <c r="M189" s="4" t="str">
        <f>VLOOKUP(C189,Apoio!A:B,2,0)</f>
        <v>11-50</v>
      </c>
    </row>
    <row r="190">
      <c r="A190" s="3" t="s">
        <v>1261</v>
      </c>
      <c r="B190" s="3" t="s">
        <v>59</v>
      </c>
      <c r="C190" s="3" t="s">
        <v>61</v>
      </c>
      <c r="D190" s="3" t="s">
        <v>1262</v>
      </c>
      <c r="E190" s="3" t="s">
        <v>171</v>
      </c>
      <c r="F190" s="8" t="s">
        <v>52</v>
      </c>
      <c r="G190" s="3" t="s">
        <v>1263</v>
      </c>
      <c r="H190" s="14">
        <v>41635.0</v>
      </c>
      <c r="I190" s="3" t="s">
        <v>59</v>
      </c>
      <c r="J190" s="3" t="s">
        <v>1254</v>
      </c>
      <c r="K190" s="3" t="s">
        <v>1254</v>
      </c>
      <c r="L190" s="3" t="s">
        <v>68</v>
      </c>
      <c r="M190" s="4" t="str">
        <f>VLOOKUP(C190,Apoio!A:B,2,0)</f>
        <v>11-50</v>
      </c>
    </row>
    <row r="191">
      <c r="A191" s="3" t="s">
        <v>950</v>
      </c>
      <c r="B191" s="3" t="s">
        <v>59</v>
      </c>
      <c r="C191" s="3" t="s">
        <v>61</v>
      </c>
      <c r="D191" s="3" t="s">
        <v>951</v>
      </c>
      <c r="E191" s="3" t="s">
        <v>1264</v>
      </c>
      <c r="F191" s="8" t="s">
        <v>52</v>
      </c>
      <c r="G191" s="10">
        <v>108.057</v>
      </c>
      <c r="H191" s="7">
        <v>43495.0</v>
      </c>
      <c r="I191" s="3" t="s">
        <v>59</v>
      </c>
      <c r="J191" s="3" t="s">
        <v>1265</v>
      </c>
      <c r="K191" s="3" t="s">
        <v>1265</v>
      </c>
      <c r="L191" s="3" t="s">
        <v>72</v>
      </c>
      <c r="M191" s="4" t="str">
        <f>VLOOKUP(C191,Apoio!A:B,2,0)</f>
        <v>11-50</v>
      </c>
    </row>
    <row r="192">
      <c r="A192" s="3" t="s">
        <v>997</v>
      </c>
      <c r="B192" s="3" t="s">
        <v>59</v>
      </c>
      <c r="C192" s="3" t="s">
        <v>61</v>
      </c>
      <c r="D192" s="3" t="s">
        <v>998</v>
      </c>
      <c r="E192" s="3" t="s">
        <v>66</v>
      </c>
      <c r="F192" s="8" t="s">
        <v>52</v>
      </c>
      <c r="G192" s="10">
        <v>66.615</v>
      </c>
      <c r="H192" s="7">
        <v>45689.0</v>
      </c>
      <c r="I192" s="3" t="s">
        <v>59</v>
      </c>
      <c r="J192" s="3" t="s">
        <v>1267</v>
      </c>
      <c r="K192" s="3" t="s">
        <v>1267</v>
      </c>
      <c r="L192" s="3" t="s">
        <v>172</v>
      </c>
      <c r="M192" s="4" t="str">
        <f>VLOOKUP(C192,Apoio!A:B,2,0)</f>
        <v>11-50</v>
      </c>
    </row>
    <row r="193">
      <c r="A193" s="3" t="s">
        <v>1007</v>
      </c>
      <c r="B193" s="3" t="s">
        <v>38</v>
      </c>
      <c r="C193" s="3" t="s">
        <v>61</v>
      </c>
      <c r="D193" s="3" t="s">
        <v>1008</v>
      </c>
      <c r="E193" s="3" t="s">
        <v>171</v>
      </c>
      <c r="F193" s="8" t="s">
        <v>52</v>
      </c>
      <c r="G193" s="10">
        <v>70.219</v>
      </c>
      <c r="H193" s="7">
        <v>44734.0</v>
      </c>
      <c r="I193" s="3" t="s">
        <v>68</v>
      </c>
      <c r="J193" s="3" t="s">
        <v>1268</v>
      </c>
      <c r="K193" s="3" t="s">
        <v>1267</v>
      </c>
      <c r="L193" s="3" t="s">
        <v>72</v>
      </c>
      <c r="M193" s="4" t="str">
        <f>VLOOKUP(C193,Apoio!A:B,2,0)</f>
        <v>11-50</v>
      </c>
    </row>
    <row r="194">
      <c r="A194" s="3" t="s">
        <v>1042</v>
      </c>
      <c r="B194" s="3" t="s">
        <v>76</v>
      </c>
      <c r="C194" s="3" t="s">
        <v>78</v>
      </c>
      <c r="D194" s="3" t="s">
        <v>1043</v>
      </c>
      <c r="E194" s="3" t="s">
        <v>1270</v>
      </c>
      <c r="F194" s="8" t="s">
        <v>52</v>
      </c>
      <c r="G194" s="10">
        <v>84.651</v>
      </c>
      <c r="H194" s="7">
        <v>45747.0</v>
      </c>
      <c r="I194" s="3" t="s">
        <v>670</v>
      </c>
      <c r="J194" s="3" t="s">
        <v>1271</v>
      </c>
      <c r="K194" s="3" t="s">
        <v>1272</v>
      </c>
      <c r="L194" s="3" t="s">
        <v>172</v>
      </c>
      <c r="M194" s="4" t="str">
        <f>VLOOKUP(C194,Apoio!A:B,2,0)</f>
        <v>51-100</v>
      </c>
    </row>
    <row r="195">
      <c r="A195" s="3" t="s">
        <v>1274</v>
      </c>
      <c r="B195" s="3" t="s">
        <v>59</v>
      </c>
      <c r="C195" s="3" t="s">
        <v>61</v>
      </c>
      <c r="D195" s="3" t="s">
        <v>1275</v>
      </c>
      <c r="E195" s="3" t="s">
        <v>171</v>
      </c>
      <c r="F195" s="8" t="s">
        <v>52</v>
      </c>
      <c r="G195" s="10">
        <v>138.437</v>
      </c>
      <c r="H195" s="14">
        <v>44487.0</v>
      </c>
      <c r="I195" s="3" t="s">
        <v>59</v>
      </c>
      <c r="J195" s="3" t="s">
        <v>1272</v>
      </c>
      <c r="K195" s="3" t="s">
        <v>1272</v>
      </c>
      <c r="L195" s="3" t="s">
        <v>72</v>
      </c>
      <c r="M195" s="4" t="str">
        <f>VLOOKUP(C195,Apoio!A:B,2,0)</f>
        <v>11-50</v>
      </c>
    </row>
    <row r="196">
      <c r="A196" s="22" t="s">
        <v>1279</v>
      </c>
      <c r="B196" s="3" t="s">
        <v>38</v>
      </c>
      <c r="C196" s="3" t="s">
        <v>61</v>
      </c>
      <c r="D196" s="3" t="s">
        <v>1054</v>
      </c>
      <c r="E196" s="3" t="s">
        <v>1283</v>
      </c>
      <c r="F196" s="8" t="s">
        <v>52</v>
      </c>
      <c r="G196" s="10">
        <v>204.705</v>
      </c>
      <c r="H196" s="7">
        <v>43704.0</v>
      </c>
      <c r="I196" s="3" t="s">
        <v>68</v>
      </c>
      <c r="J196" s="3" t="s">
        <v>1268</v>
      </c>
      <c r="K196" s="3" t="s">
        <v>1268</v>
      </c>
      <c r="L196" s="3" t="s">
        <v>68</v>
      </c>
      <c r="M196" s="4" t="str">
        <f>VLOOKUP(C196,Apoio!A:B,2,0)</f>
        <v>11-50</v>
      </c>
    </row>
    <row r="197">
      <c r="A197" s="3" t="s">
        <v>1063</v>
      </c>
      <c r="B197" s="3" t="s">
        <v>59</v>
      </c>
      <c r="C197" s="3" t="s">
        <v>61</v>
      </c>
      <c r="D197" s="3" t="s">
        <v>1064</v>
      </c>
      <c r="E197" s="3" t="s">
        <v>171</v>
      </c>
      <c r="F197" s="8" t="s">
        <v>52</v>
      </c>
      <c r="G197" s="10">
        <v>323.633</v>
      </c>
      <c r="H197" s="7">
        <v>42005.0</v>
      </c>
      <c r="I197" s="3" t="s">
        <v>167</v>
      </c>
      <c r="J197" s="3" t="s">
        <v>1287</v>
      </c>
      <c r="K197" s="3" t="s">
        <v>1268</v>
      </c>
      <c r="L197" s="3" t="s">
        <v>72</v>
      </c>
      <c r="M197" s="4" t="str">
        <f>VLOOKUP(C197,Apoio!A:B,2,0)</f>
        <v>11-50</v>
      </c>
    </row>
    <row r="198">
      <c r="A198" s="3" t="s">
        <v>1079</v>
      </c>
      <c r="B198" s="3" t="s">
        <v>59</v>
      </c>
      <c r="C198" s="3" t="s">
        <v>61</v>
      </c>
      <c r="D198" s="3" t="s">
        <v>1080</v>
      </c>
      <c r="E198" s="3" t="s">
        <v>502</v>
      </c>
      <c r="F198" s="8" t="s">
        <v>52</v>
      </c>
      <c r="G198" s="10">
        <v>55.646</v>
      </c>
      <c r="H198" s="14">
        <v>44887.0</v>
      </c>
      <c r="I198" s="3" t="s">
        <v>59</v>
      </c>
      <c r="J198" s="3" t="s">
        <v>1292</v>
      </c>
      <c r="K198" s="3" t="s">
        <v>1292</v>
      </c>
      <c r="L198" s="3" t="s">
        <v>72</v>
      </c>
      <c r="M198" s="4" t="str">
        <f>VLOOKUP(C198,Apoio!A:B,2,0)</f>
        <v>11-50</v>
      </c>
    </row>
    <row r="199">
      <c r="A199" s="3" t="s">
        <v>1293</v>
      </c>
      <c r="B199" s="3" t="s">
        <v>59</v>
      </c>
      <c r="C199" s="3" t="s">
        <v>61</v>
      </c>
      <c r="D199" s="3" t="s">
        <v>1294</v>
      </c>
      <c r="E199" s="3" t="s">
        <v>171</v>
      </c>
      <c r="F199" s="8" t="s">
        <v>52</v>
      </c>
      <c r="G199" s="10">
        <v>113.658</v>
      </c>
      <c r="H199" s="7">
        <v>45034.0</v>
      </c>
      <c r="I199" s="3" t="s">
        <v>59</v>
      </c>
      <c r="J199" s="3" t="s">
        <v>1292</v>
      </c>
      <c r="K199" s="3" t="s">
        <v>1292</v>
      </c>
      <c r="L199" s="3" t="s">
        <v>172</v>
      </c>
      <c r="M199" s="4" t="str">
        <f>VLOOKUP(C199,Apoio!A:B,2,0)</f>
        <v>11-50</v>
      </c>
    </row>
    <row r="200">
      <c r="A200" s="3" t="s">
        <v>1298</v>
      </c>
      <c r="B200" s="3" t="s">
        <v>59</v>
      </c>
      <c r="C200" s="3" t="s">
        <v>61</v>
      </c>
      <c r="D200" s="3" t="s">
        <v>1299</v>
      </c>
      <c r="E200" s="3" t="s">
        <v>66</v>
      </c>
      <c r="F200" s="8" t="s">
        <v>52</v>
      </c>
      <c r="G200" s="10">
        <v>234.113</v>
      </c>
      <c r="H200" s="7">
        <v>42487.0</v>
      </c>
      <c r="I200" s="3" t="s">
        <v>167</v>
      </c>
      <c r="J200" s="3" t="s">
        <v>1292</v>
      </c>
      <c r="K200" s="3" t="s">
        <v>1292</v>
      </c>
      <c r="L200" s="3" t="s">
        <v>68</v>
      </c>
      <c r="M200" s="4" t="str">
        <f>VLOOKUP(C200,Apoio!A:B,2,0)</f>
        <v>11-50</v>
      </c>
    </row>
    <row r="201">
      <c r="A201" s="3" t="s">
        <v>1301</v>
      </c>
      <c r="B201" s="3" t="s">
        <v>59</v>
      </c>
      <c r="C201" s="3" t="s">
        <v>61</v>
      </c>
      <c r="D201" s="3" t="s">
        <v>1302</v>
      </c>
      <c r="E201" s="3" t="s">
        <v>397</v>
      </c>
      <c r="F201" s="8" t="s">
        <v>52</v>
      </c>
      <c r="G201" s="10">
        <v>875.524</v>
      </c>
      <c r="H201" s="7">
        <v>41771.0</v>
      </c>
      <c r="I201" s="3" t="s">
        <v>59</v>
      </c>
      <c r="J201" s="3" t="s">
        <v>1292</v>
      </c>
      <c r="K201" s="3" t="s">
        <v>1292</v>
      </c>
      <c r="L201" s="3" t="s">
        <v>68</v>
      </c>
      <c r="M201" s="4" t="str">
        <f>VLOOKUP(C201,Apoio!A:B,2,0)</f>
        <v>11-50</v>
      </c>
    </row>
    <row r="202">
      <c r="A202" s="3" t="s">
        <v>1105</v>
      </c>
      <c r="B202" s="3" t="s">
        <v>59</v>
      </c>
      <c r="C202" s="3" t="s">
        <v>330</v>
      </c>
      <c r="D202" s="3" t="s">
        <v>1106</v>
      </c>
      <c r="E202" s="3" t="s">
        <v>970</v>
      </c>
      <c r="F202" s="8" t="s">
        <v>52</v>
      </c>
      <c r="G202" s="10">
        <v>162.281</v>
      </c>
      <c r="H202" s="7">
        <v>43411.0</v>
      </c>
      <c r="I202" s="3" t="s">
        <v>59</v>
      </c>
      <c r="J202" s="3" t="s">
        <v>1307</v>
      </c>
      <c r="K202" s="3" t="s">
        <v>1307</v>
      </c>
      <c r="L202" s="3" t="s">
        <v>72</v>
      </c>
      <c r="M202" s="4" t="str">
        <f>VLOOKUP(C202,Apoio!A:B,2,0)</f>
        <v>501-1000</v>
      </c>
    </row>
    <row r="203">
      <c r="A203" s="3" t="s">
        <v>1116</v>
      </c>
      <c r="B203" s="3" t="s">
        <v>59</v>
      </c>
      <c r="C203" s="3" t="s">
        <v>61</v>
      </c>
      <c r="D203" s="3" t="s">
        <v>1117</v>
      </c>
      <c r="E203" s="3" t="s">
        <v>710</v>
      </c>
      <c r="F203" s="8" t="s">
        <v>52</v>
      </c>
      <c r="G203" s="10">
        <v>64.103</v>
      </c>
      <c r="H203" s="7">
        <v>45552.0</v>
      </c>
      <c r="I203" s="3" t="s">
        <v>59</v>
      </c>
      <c r="J203" s="3" t="s">
        <v>1309</v>
      </c>
      <c r="K203" s="3" t="s">
        <v>1310</v>
      </c>
      <c r="L203" s="3" t="s">
        <v>172</v>
      </c>
      <c r="M203" s="4" t="str">
        <f>VLOOKUP(C203,Apoio!A:B,2,0)</f>
        <v>11-50</v>
      </c>
    </row>
    <row r="204">
      <c r="A204" s="3" t="s">
        <v>1125</v>
      </c>
      <c r="B204" s="3" t="s">
        <v>59</v>
      </c>
      <c r="C204" s="3" t="s">
        <v>61</v>
      </c>
      <c r="D204" s="3" t="s">
        <v>1126</v>
      </c>
      <c r="E204" s="3" t="s">
        <v>1311</v>
      </c>
      <c r="F204" s="8" t="s">
        <v>52</v>
      </c>
      <c r="G204" s="10">
        <v>102.915</v>
      </c>
      <c r="H204" s="14">
        <v>45251.0</v>
      </c>
      <c r="I204" s="3" t="s">
        <v>59</v>
      </c>
      <c r="J204" s="3" t="s">
        <v>1312</v>
      </c>
      <c r="K204" s="3" t="s">
        <v>1313</v>
      </c>
      <c r="L204" s="3" t="s">
        <v>72</v>
      </c>
      <c r="M204" s="4" t="str">
        <f>VLOOKUP(C204,Apoio!A:B,2,0)</f>
        <v>11-50</v>
      </c>
    </row>
    <row r="205">
      <c r="A205" s="3" t="s">
        <v>1315</v>
      </c>
      <c r="B205" s="3" t="s">
        <v>38</v>
      </c>
      <c r="C205" s="3" t="s">
        <v>61</v>
      </c>
      <c r="D205" s="3" t="s">
        <v>1316</v>
      </c>
      <c r="E205" s="3" t="s">
        <v>281</v>
      </c>
      <c r="F205" s="8" t="s">
        <v>52</v>
      </c>
      <c r="G205" s="10">
        <v>39.37</v>
      </c>
      <c r="H205" s="7">
        <v>45799.0</v>
      </c>
      <c r="I205" s="3" t="s">
        <v>68</v>
      </c>
      <c r="J205" s="3" t="s">
        <v>1317</v>
      </c>
      <c r="K205" s="3" t="s">
        <v>1318</v>
      </c>
      <c r="L205" s="3" t="s">
        <v>172</v>
      </c>
      <c r="M205" s="4" t="str">
        <f>VLOOKUP(C205,Apoio!A:B,2,0)</f>
        <v>11-50</v>
      </c>
    </row>
    <row r="206">
      <c r="A206" s="3" t="s">
        <v>1321</v>
      </c>
      <c r="B206" s="3" t="s">
        <v>76</v>
      </c>
      <c r="C206" s="3" t="s">
        <v>61</v>
      </c>
      <c r="D206" s="3" t="s">
        <v>1322</v>
      </c>
      <c r="E206" s="3" t="s">
        <v>171</v>
      </c>
      <c r="F206" s="8" t="s">
        <v>52</v>
      </c>
      <c r="G206" s="10">
        <v>48.919</v>
      </c>
      <c r="H206" s="14">
        <v>44865.0</v>
      </c>
      <c r="I206" s="3" t="s">
        <v>670</v>
      </c>
      <c r="J206" s="3" t="s">
        <v>1323</v>
      </c>
      <c r="K206" s="3" t="s">
        <v>1318</v>
      </c>
      <c r="L206" s="3" t="s">
        <v>72</v>
      </c>
      <c r="M206" s="4" t="str">
        <f>VLOOKUP(C206,Apoio!A:B,2,0)</f>
        <v>11-50</v>
      </c>
    </row>
    <row r="207">
      <c r="A207" s="3" t="s">
        <v>1324</v>
      </c>
      <c r="B207" s="3" t="s">
        <v>76</v>
      </c>
      <c r="C207" s="3" t="s">
        <v>78</v>
      </c>
      <c r="D207" s="3" t="s">
        <v>1326</v>
      </c>
      <c r="E207" s="3" t="s">
        <v>171</v>
      </c>
      <c r="F207" s="8" t="s">
        <v>52</v>
      </c>
      <c r="G207" s="10">
        <v>93.727</v>
      </c>
      <c r="H207" s="14">
        <v>43448.0</v>
      </c>
      <c r="I207" s="3" t="s">
        <v>670</v>
      </c>
      <c r="J207" s="3" t="s">
        <v>1318</v>
      </c>
      <c r="K207" s="3" t="s">
        <v>1318</v>
      </c>
      <c r="L207" s="3" t="s">
        <v>72</v>
      </c>
      <c r="M207" s="4" t="str">
        <f>VLOOKUP(C207,Apoio!A:B,2,0)</f>
        <v>51-100</v>
      </c>
    </row>
    <row r="208">
      <c r="A208" s="3" t="s">
        <v>1328</v>
      </c>
      <c r="B208" s="3" t="s">
        <v>289</v>
      </c>
      <c r="C208" s="3" t="s">
        <v>61</v>
      </c>
      <c r="D208" s="3" t="s">
        <v>1329</v>
      </c>
      <c r="E208" s="3" t="s">
        <v>397</v>
      </c>
      <c r="F208" s="8" t="s">
        <v>52</v>
      </c>
      <c r="G208" s="10">
        <v>35.34</v>
      </c>
      <c r="H208" s="7">
        <v>45478.0</v>
      </c>
      <c r="I208" s="3" t="s">
        <v>670</v>
      </c>
      <c r="J208" s="3" t="s">
        <v>1330</v>
      </c>
      <c r="K208" s="3" t="s">
        <v>1331</v>
      </c>
      <c r="L208" s="3" t="s">
        <v>172</v>
      </c>
      <c r="M208" s="4" t="str">
        <f>VLOOKUP(C208,Apoio!A:B,2,0)</f>
        <v>11-50</v>
      </c>
    </row>
    <row r="209">
      <c r="A209" s="3" t="s">
        <v>1333</v>
      </c>
      <c r="B209" s="3" t="s">
        <v>76</v>
      </c>
      <c r="C209" s="3" t="s">
        <v>61</v>
      </c>
      <c r="D209" s="3" t="s">
        <v>1334</v>
      </c>
      <c r="E209" s="3" t="s">
        <v>66</v>
      </c>
      <c r="F209" s="8" t="s">
        <v>52</v>
      </c>
      <c r="G209" s="10">
        <v>27.447</v>
      </c>
      <c r="H209" s="7">
        <v>45377.0</v>
      </c>
      <c r="I209" s="3" t="s">
        <v>670</v>
      </c>
      <c r="J209" s="3" t="s">
        <v>1335</v>
      </c>
      <c r="K209" s="3" t="s">
        <v>1336</v>
      </c>
      <c r="L209" s="3" t="s">
        <v>72</v>
      </c>
      <c r="M209" s="4" t="str">
        <f>VLOOKUP(C209,Apoio!A:B,2,0)</f>
        <v>11-50</v>
      </c>
    </row>
    <row r="210">
      <c r="A210" s="3" t="s">
        <v>1338</v>
      </c>
      <c r="B210" s="3" t="s">
        <v>685</v>
      </c>
      <c r="C210" s="3" t="s">
        <v>330</v>
      </c>
      <c r="D210" s="3" t="s">
        <v>344</v>
      </c>
      <c r="E210" s="3" t="s">
        <v>66</v>
      </c>
      <c r="F210" s="8" t="s">
        <v>52</v>
      </c>
      <c r="G210" s="10">
        <v>26.15</v>
      </c>
      <c r="H210" s="7">
        <v>45869.0</v>
      </c>
      <c r="I210" s="3" t="s">
        <v>364</v>
      </c>
      <c r="J210" s="3" t="s">
        <v>1339</v>
      </c>
      <c r="K210" s="3" t="s">
        <v>1339</v>
      </c>
      <c r="L210" s="3" t="s">
        <v>172</v>
      </c>
      <c r="M210" s="4" t="str">
        <f>VLOOKUP(C210,Apoio!A:B,2,0)</f>
        <v>501-1000</v>
      </c>
    </row>
    <row r="211">
      <c r="A211" s="3" t="s">
        <v>1341</v>
      </c>
      <c r="B211" s="3" t="s">
        <v>59</v>
      </c>
      <c r="C211" s="3" t="s">
        <v>61</v>
      </c>
      <c r="D211" s="3" t="s">
        <v>1342</v>
      </c>
      <c r="E211" s="3" t="s">
        <v>488</v>
      </c>
      <c r="F211" s="8" t="s">
        <v>52</v>
      </c>
      <c r="G211" s="10">
        <v>22.804</v>
      </c>
      <c r="H211" s="7">
        <v>45912.0</v>
      </c>
      <c r="I211" s="3" t="s">
        <v>59</v>
      </c>
      <c r="J211" s="3" t="s">
        <v>1344</v>
      </c>
      <c r="K211" s="3" t="s">
        <v>1344</v>
      </c>
      <c r="L211" s="3" t="s">
        <v>672</v>
      </c>
      <c r="M211" s="4" t="str">
        <f>VLOOKUP(C211,Apoio!A:B,2,0)</f>
        <v>11-50</v>
      </c>
    </row>
    <row r="212">
      <c r="A212" s="3" t="s">
        <v>1347</v>
      </c>
      <c r="B212" s="3" t="s">
        <v>76</v>
      </c>
      <c r="C212" s="3" t="s">
        <v>109</v>
      </c>
      <c r="D212" s="3" t="s">
        <v>1348</v>
      </c>
      <c r="E212" s="3" t="s">
        <v>397</v>
      </c>
      <c r="F212" s="8" t="s">
        <v>52</v>
      </c>
      <c r="G212" s="10">
        <v>35.518</v>
      </c>
      <c r="H212" s="7">
        <v>44740.0</v>
      </c>
      <c r="I212" s="3" t="s">
        <v>167</v>
      </c>
      <c r="J212" s="3" t="s">
        <v>1349</v>
      </c>
      <c r="K212" s="3" t="s">
        <v>1350</v>
      </c>
      <c r="L212" s="3" t="s">
        <v>72</v>
      </c>
      <c r="M212" s="4" t="str">
        <f>VLOOKUP(C212,Apoio!A:B,2,0)</f>
        <v>101-250</v>
      </c>
    </row>
    <row r="213">
      <c r="A213" s="3" t="s">
        <v>1354</v>
      </c>
      <c r="B213" s="3" t="s">
        <v>752</v>
      </c>
      <c r="C213" s="3" t="s">
        <v>61</v>
      </c>
      <c r="D213" s="3" t="s">
        <v>1355</v>
      </c>
      <c r="E213" s="3" t="s">
        <v>1357</v>
      </c>
      <c r="F213" s="8" t="s">
        <v>52</v>
      </c>
      <c r="G213" s="10">
        <v>48.046</v>
      </c>
      <c r="H213" s="7">
        <v>45630.0</v>
      </c>
      <c r="I213" s="3" t="s">
        <v>736</v>
      </c>
      <c r="J213" s="3" t="s">
        <v>1350</v>
      </c>
      <c r="K213" s="3" t="s">
        <v>1350</v>
      </c>
      <c r="L213" s="3" t="s">
        <v>672</v>
      </c>
      <c r="M213" s="4" t="str">
        <f>VLOOKUP(C213,Apoio!A:B,2,0)</f>
        <v>11-50</v>
      </c>
    </row>
    <row r="214">
      <c r="A214" s="3" t="s">
        <v>1358</v>
      </c>
      <c r="B214" s="3" t="s">
        <v>38</v>
      </c>
      <c r="C214" s="3" t="s">
        <v>61</v>
      </c>
      <c r="D214" s="3" t="s">
        <v>1359</v>
      </c>
      <c r="E214" s="3" t="s">
        <v>1360</v>
      </c>
      <c r="F214" s="8" t="s">
        <v>52</v>
      </c>
      <c r="G214" s="10">
        <v>43.461</v>
      </c>
      <c r="H214" s="7">
        <v>45498.0</v>
      </c>
      <c r="I214" s="3" t="s">
        <v>68</v>
      </c>
      <c r="J214" s="3" t="s">
        <v>1361</v>
      </c>
      <c r="K214" s="3" t="s">
        <v>1362</v>
      </c>
      <c r="L214" s="3" t="s">
        <v>672</v>
      </c>
      <c r="M214" s="4" t="str">
        <f>VLOOKUP(C214,Apoio!A:B,2,0)</f>
        <v>11-50</v>
      </c>
    </row>
    <row r="215">
      <c r="A215" s="3" t="s">
        <v>1366</v>
      </c>
      <c r="B215" s="3" t="s">
        <v>685</v>
      </c>
      <c r="C215" s="3" t="s">
        <v>330</v>
      </c>
      <c r="D215" s="3" t="s">
        <v>1367</v>
      </c>
      <c r="E215" s="3" t="s">
        <v>171</v>
      </c>
      <c r="F215" s="8" t="s">
        <v>52</v>
      </c>
      <c r="G215" s="10">
        <v>160.668</v>
      </c>
      <c r="H215" s="14">
        <v>45987.0</v>
      </c>
      <c r="I215" s="3" t="s">
        <v>364</v>
      </c>
      <c r="J215" s="3" t="s">
        <v>1369</v>
      </c>
      <c r="K215" s="3" t="s">
        <v>1369</v>
      </c>
      <c r="L215" s="3" t="s">
        <v>172</v>
      </c>
      <c r="M215" s="4" t="str">
        <f>VLOOKUP(C215,Apoio!A:B,2,0)</f>
        <v>501-1000</v>
      </c>
    </row>
    <row r="216">
      <c r="A216" s="3" t="s">
        <v>1370</v>
      </c>
      <c r="B216" s="3" t="s">
        <v>289</v>
      </c>
      <c r="C216" s="3" t="s">
        <v>109</v>
      </c>
      <c r="D216" s="3" t="s">
        <v>1371</v>
      </c>
      <c r="E216" s="3" t="s">
        <v>66</v>
      </c>
      <c r="F216" s="8" t="s">
        <v>52</v>
      </c>
      <c r="G216" s="10">
        <v>19.943</v>
      </c>
      <c r="H216" s="14">
        <v>45594.0</v>
      </c>
      <c r="I216" s="3" t="s">
        <v>670</v>
      </c>
      <c r="J216" s="3" t="s">
        <v>1374</v>
      </c>
      <c r="K216" s="3" t="s">
        <v>1375</v>
      </c>
      <c r="L216" s="3" t="s">
        <v>672</v>
      </c>
      <c r="M216" s="4" t="str">
        <f>VLOOKUP(C216,Apoio!A:B,2,0)</f>
        <v>101-250</v>
      </c>
    </row>
    <row r="217">
      <c r="A217" s="3" t="s">
        <v>1378</v>
      </c>
      <c r="B217" s="3" t="s">
        <v>752</v>
      </c>
      <c r="C217" s="3" t="s">
        <v>109</v>
      </c>
      <c r="D217" s="3" t="s">
        <v>1379</v>
      </c>
      <c r="E217" s="3" t="s">
        <v>281</v>
      </c>
      <c r="F217" s="8" t="s">
        <v>52</v>
      </c>
      <c r="G217" s="10">
        <v>25.136</v>
      </c>
      <c r="H217" s="14">
        <v>45282.0</v>
      </c>
      <c r="I217" s="3" t="s">
        <v>736</v>
      </c>
      <c r="J217" s="3" t="s">
        <v>1380</v>
      </c>
      <c r="K217" s="3" t="s">
        <v>1375</v>
      </c>
      <c r="L217" s="3" t="s">
        <v>72</v>
      </c>
      <c r="M217" s="4" t="str">
        <f>VLOOKUP(C217,Apoio!A:B,2,0)</f>
        <v>101-250</v>
      </c>
    </row>
    <row r="218">
      <c r="A218" s="3" t="s">
        <v>1149</v>
      </c>
      <c r="B218" s="3" t="s">
        <v>38</v>
      </c>
      <c r="C218" s="3" t="s">
        <v>61</v>
      </c>
      <c r="D218" s="3" t="s">
        <v>1150</v>
      </c>
      <c r="E218" s="3" t="s">
        <v>488</v>
      </c>
      <c r="F218" s="8" t="s">
        <v>52</v>
      </c>
      <c r="G218" s="10">
        <v>34.613</v>
      </c>
      <c r="H218" s="7">
        <v>45841.0</v>
      </c>
      <c r="I218" s="3" t="s">
        <v>68</v>
      </c>
      <c r="J218" s="3" t="s">
        <v>1381</v>
      </c>
      <c r="K218" s="3" t="s">
        <v>1383</v>
      </c>
      <c r="L218" s="3" t="s">
        <v>172</v>
      </c>
      <c r="M218" s="4" t="str">
        <f>VLOOKUP(C218,Apoio!A:B,2,0)</f>
        <v>11-50</v>
      </c>
    </row>
    <row r="219">
      <c r="A219" s="3" t="s">
        <v>1161</v>
      </c>
      <c r="B219" s="3" t="s">
        <v>76</v>
      </c>
      <c r="C219" s="3" t="s">
        <v>61</v>
      </c>
      <c r="D219" s="3" t="s">
        <v>1163</v>
      </c>
      <c r="E219" s="3" t="s">
        <v>171</v>
      </c>
      <c r="F219" s="8" t="s">
        <v>52</v>
      </c>
      <c r="G219" s="10">
        <v>36.234</v>
      </c>
      <c r="H219" s="7">
        <v>45841.0</v>
      </c>
      <c r="I219" s="3" t="s">
        <v>670</v>
      </c>
      <c r="J219" s="3" t="s">
        <v>1387</v>
      </c>
      <c r="K219" s="3" t="s">
        <v>1383</v>
      </c>
      <c r="L219" s="3" t="s">
        <v>172</v>
      </c>
      <c r="M219" s="4" t="str">
        <f>VLOOKUP(C219,Apoio!A:B,2,0)</f>
        <v>11-50</v>
      </c>
    </row>
    <row r="220">
      <c r="A220" s="3" t="s">
        <v>1175</v>
      </c>
      <c r="B220" s="3" t="s">
        <v>59</v>
      </c>
      <c r="C220" s="3" t="s">
        <v>61</v>
      </c>
      <c r="D220" s="3" t="s">
        <v>1177</v>
      </c>
      <c r="E220" s="3" t="s">
        <v>171</v>
      </c>
      <c r="F220" s="8" t="s">
        <v>52</v>
      </c>
      <c r="G220" s="10">
        <v>38.869</v>
      </c>
      <c r="H220" s="7">
        <v>45748.0</v>
      </c>
      <c r="I220" s="3" t="s">
        <v>59</v>
      </c>
      <c r="J220" s="3" t="s">
        <v>1381</v>
      </c>
      <c r="K220" s="3" t="s">
        <v>1383</v>
      </c>
      <c r="L220" s="3" t="s">
        <v>172</v>
      </c>
      <c r="M220" s="4" t="str">
        <f>VLOOKUP(C220,Apoio!A:B,2,0)</f>
        <v>11-50</v>
      </c>
    </row>
    <row r="221">
      <c r="A221" s="3" t="s">
        <v>1184</v>
      </c>
      <c r="B221" s="3" t="s">
        <v>59</v>
      </c>
      <c r="C221" s="3" t="s">
        <v>61</v>
      </c>
      <c r="D221" s="3" t="s">
        <v>1185</v>
      </c>
      <c r="E221" s="3" t="s">
        <v>66</v>
      </c>
      <c r="F221" s="8" t="s">
        <v>52</v>
      </c>
      <c r="G221" s="10">
        <v>58.979</v>
      </c>
      <c r="H221" s="7">
        <v>45300.0</v>
      </c>
      <c r="I221" s="3" t="s">
        <v>59</v>
      </c>
      <c r="J221" s="3" t="s">
        <v>1383</v>
      </c>
      <c r="K221" s="3" t="s">
        <v>1383</v>
      </c>
      <c r="L221" s="3" t="s">
        <v>72</v>
      </c>
      <c r="M221" s="4" t="str">
        <f>VLOOKUP(C221,Apoio!A:B,2,0)</f>
        <v>11-50</v>
      </c>
    </row>
    <row r="222">
      <c r="A222" s="3" t="s">
        <v>1193</v>
      </c>
      <c r="B222" s="3" t="s">
        <v>59</v>
      </c>
      <c r="C222" s="3" t="s">
        <v>61</v>
      </c>
      <c r="D222" s="3" t="s">
        <v>1195</v>
      </c>
      <c r="E222" s="3" t="s">
        <v>171</v>
      </c>
      <c r="F222" s="8" t="s">
        <v>52</v>
      </c>
      <c r="G222" s="10">
        <v>62.64</v>
      </c>
      <c r="H222" s="7">
        <v>45495.0</v>
      </c>
      <c r="I222" s="3" t="s">
        <v>59</v>
      </c>
      <c r="J222" s="3" t="s">
        <v>1392</v>
      </c>
      <c r="K222" s="3" t="s">
        <v>1383</v>
      </c>
      <c r="L222" s="3" t="s">
        <v>172</v>
      </c>
      <c r="M222" s="4" t="str">
        <f>VLOOKUP(C222,Apoio!A:B,2,0)</f>
        <v>11-50</v>
      </c>
    </row>
    <row r="223">
      <c r="A223" s="22" t="s">
        <v>1203</v>
      </c>
      <c r="B223" s="3" t="s">
        <v>59</v>
      </c>
      <c r="C223" s="3" t="s">
        <v>61</v>
      </c>
      <c r="D223" s="3" t="s">
        <v>1211</v>
      </c>
      <c r="E223" s="3" t="s">
        <v>171</v>
      </c>
      <c r="F223" s="8" t="s">
        <v>52</v>
      </c>
      <c r="G223" s="10">
        <v>71.29</v>
      </c>
      <c r="H223" s="7">
        <v>43895.0</v>
      </c>
      <c r="I223" s="3" t="s">
        <v>167</v>
      </c>
      <c r="J223" s="3" t="s">
        <v>1387</v>
      </c>
      <c r="K223" s="3" t="s">
        <v>1383</v>
      </c>
      <c r="L223" s="3" t="s">
        <v>672</v>
      </c>
      <c r="M223" s="4" t="str">
        <f>VLOOKUP(C223,Apoio!A:B,2,0)</f>
        <v>11-50</v>
      </c>
    </row>
    <row r="224">
      <c r="A224" s="3" t="s">
        <v>1397</v>
      </c>
      <c r="B224" s="3" t="s">
        <v>59</v>
      </c>
      <c r="C224" s="3" t="s">
        <v>61</v>
      </c>
      <c r="D224" s="3" t="s">
        <v>1399</v>
      </c>
      <c r="E224" s="3" t="s">
        <v>66</v>
      </c>
      <c r="F224" s="8" t="s">
        <v>52</v>
      </c>
      <c r="G224" s="10">
        <v>73.24</v>
      </c>
      <c r="H224" s="7">
        <v>44446.0</v>
      </c>
      <c r="I224" s="3" t="s">
        <v>59</v>
      </c>
      <c r="J224" s="3" t="s">
        <v>1401</v>
      </c>
      <c r="K224" s="3" t="s">
        <v>1383</v>
      </c>
      <c r="L224" s="3" t="s">
        <v>72</v>
      </c>
      <c r="M224" s="4" t="str">
        <f>VLOOKUP(C224,Apoio!A:B,2,0)</f>
        <v>11-50</v>
      </c>
    </row>
    <row r="225">
      <c r="A225" s="3" t="s">
        <v>1403</v>
      </c>
      <c r="B225" s="3" t="s">
        <v>76</v>
      </c>
      <c r="C225" s="3" t="s">
        <v>61</v>
      </c>
      <c r="D225" s="3" t="s">
        <v>1404</v>
      </c>
      <c r="E225" s="3" t="s">
        <v>171</v>
      </c>
      <c r="F225" s="8" t="s">
        <v>52</v>
      </c>
      <c r="G225" s="10">
        <v>90.903</v>
      </c>
      <c r="H225" s="7">
        <v>43739.0</v>
      </c>
      <c r="I225" s="3" t="s">
        <v>670</v>
      </c>
      <c r="J225" s="3" t="s">
        <v>1405</v>
      </c>
      <c r="K225" s="3" t="s">
        <v>1383</v>
      </c>
      <c r="L225" s="3" t="s">
        <v>72</v>
      </c>
      <c r="M225" s="4" t="str">
        <f>VLOOKUP(C225,Apoio!A:B,2,0)</f>
        <v>11-50</v>
      </c>
    </row>
    <row r="226">
      <c r="A226" s="3" t="s">
        <v>1410</v>
      </c>
      <c r="B226" s="3" t="s">
        <v>752</v>
      </c>
      <c r="C226" s="3" t="s">
        <v>61</v>
      </c>
      <c r="D226" s="3" t="s">
        <v>1411</v>
      </c>
      <c r="E226" s="3" t="s">
        <v>66</v>
      </c>
      <c r="F226" s="8" t="s">
        <v>52</v>
      </c>
      <c r="G226" s="10">
        <v>196.553</v>
      </c>
      <c r="H226" s="14">
        <v>42685.0</v>
      </c>
      <c r="I226" s="3" t="s">
        <v>736</v>
      </c>
      <c r="J226" s="3" t="s">
        <v>1383</v>
      </c>
      <c r="K226" s="3" t="s">
        <v>1383</v>
      </c>
      <c r="L226" s="3" t="s">
        <v>68</v>
      </c>
      <c r="M226" s="4" t="str">
        <f>VLOOKUP(C226,Apoio!A:B,2,0)</f>
        <v>11-50</v>
      </c>
    </row>
    <row r="227">
      <c r="A227" s="3" t="s">
        <v>1412</v>
      </c>
      <c r="B227" s="3" t="s">
        <v>59</v>
      </c>
      <c r="C227" s="3" t="s">
        <v>61</v>
      </c>
      <c r="D227" s="3" t="s">
        <v>1413</v>
      </c>
      <c r="E227" s="3" t="s">
        <v>66</v>
      </c>
      <c r="F227" s="8" t="s">
        <v>52</v>
      </c>
      <c r="G227" s="10">
        <v>48.253</v>
      </c>
      <c r="H227" s="14">
        <v>45275.0</v>
      </c>
      <c r="I227" s="3" t="s">
        <v>59</v>
      </c>
      <c r="J227" s="3" t="s">
        <v>1414</v>
      </c>
      <c r="K227" s="3" t="s">
        <v>1414</v>
      </c>
      <c r="L227" s="3" t="s">
        <v>172</v>
      </c>
      <c r="M227" s="4" t="str">
        <f>VLOOKUP(C227,Apoio!A:B,2,0)</f>
        <v>11-50</v>
      </c>
    </row>
    <row r="228">
      <c r="A228" s="3" t="s">
        <v>1282</v>
      </c>
      <c r="B228" s="3" t="s">
        <v>38</v>
      </c>
      <c r="C228" s="3" t="s">
        <v>61</v>
      </c>
      <c r="D228" s="3" t="s">
        <v>1284</v>
      </c>
      <c r="E228" s="3" t="s">
        <v>171</v>
      </c>
      <c r="F228" s="8" t="s">
        <v>52</v>
      </c>
      <c r="G228" s="10">
        <v>34.67</v>
      </c>
      <c r="H228" s="7">
        <v>45098.0</v>
      </c>
      <c r="I228" s="3" t="s">
        <v>68</v>
      </c>
      <c r="J228" s="3" t="s">
        <v>1416</v>
      </c>
      <c r="K228" s="3" t="s">
        <v>1417</v>
      </c>
      <c r="L228" s="3" t="s">
        <v>672</v>
      </c>
      <c r="M228" s="4" t="str">
        <f>VLOOKUP(C228,Apoio!A:B,2,0)</f>
        <v>11-50</v>
      </c>
    </row>
    <row r="229">
      <c r="A229" s="3" t="s">
        <v>1289</v>
      </c>
      <c r="B229" s="3" t="s">
        <v>59</v>
      </c>
      <c r="C229" s="3" t="s">
        <v>61</v>
      </c>
      <c r="D229" s="3" t="s">
        <v>1290</v>
      </c>
      <c r="E229" s="3" t="s">
        <v>171</v>
      </c>
      <c r="F229" s="8" t="s">
        <v>52</v>
      </c>
      <c r="G229" s="10">
        <v>41.341</v>
      </c>
      <c r="H229" s="7">
        <v>45377.0</v>
      </c>
      <c r="I229" s="3" t="s">
        <v>59</v>
      </c>
      <c r="J229" s="3" t="s">
        <v>1419</v>
      </c>
      <c r="K229" s="3" t="s">
        <v>1417</v>
      </c>
      <c r="L229" s="3" t="s">
        <v>72</v>
      </c>
      <c r="M229" s="4" t="str">
        <f>VLOOKUP(C229,Apoio!A:B,2,0)</f>
        <v>11-50</v>
      </c>
    </row>
    <row r="230">
      <c r="A230" s="3" t="s">
        <v>1296</v>
      </c>
      <c r="B230" s="3" t="s">
        <v>59</v>
      </c>
      <c r="C230" s="3" t="s">
        <v>61</v>
      </c>
      <c r="D230" s="3" t="s">
        <v>1297</v>
      </c>
      <c r="E230" s="3" t="s">
        <v>171</v>
      </c>
      <c r="F230" s="8" t="s">
        <v>52</v>
      </c>
      <c r="G230" s="10">
        <v>86.5</v>
      </c>
      <c r="H230" s="14">
        <v>45222.0</v>
      </c>
      <c r="I230" s="3" t="s">
        <v>59</v>
      </c>
      <c r="J230" s="3" t="s">
        <v>1417</v>
      </c>
      <c r="K230" s="3" t="s">
        <v>1417</v>
      </c>
      <c r="L230" s="3" t="s">
        <v>72</v>
      </c>
      <c r="M230" s="4" t="str">
        <f>VLOOKUP(C230,Apoio!A:B,2,0)</f>
        <v>11-50</v>
      </c>
    </row>
    <row r="231">
      <c r="A231" s="3" t="s">
        <v>1304</v>
      </c>
      <c r="B231" s="3" t="s">
        <v>59</v>
      </c>
      <c r="C231" s="3" t="s">
        <v>61</v>
      </c>
      <c r="D231" s="3" t="s">
        <v>1305</v>
      </c>
      <c r="E231" s="3" t="s">
        <v>488</v>
      </c>
      <c r="F231" s="8" t="s">
        <v>52</v>
      </c>
      <c r="G231" s="10">
        <v>100.99</v>
      </c>
      <c r="H231" s="7">
        <v>44712.0</v>
      </c>
      <c r="I231" s="3" t="s">
        <v>59</v>
      </c>
      <c r="J231" s="3" t="s">
        <v>520</v>
      </c>
      <c r="K231" s="3" t="s">
        <v>1417</v>
      </c>
      <c r="L231" s="3" t="s">
        <v>72</v>
      </c>
      <c r="M231" s="4" t="str">
        <f>VLOOKUP(C231,Apoio!A:B,2,0)</f>
        <v>11-50</v>
      </c>
    </row>
    <row r="232">
      <c r="A232" s="3" t="s">
        <v>1372</v>
      </c>
      <c r="B232" s="3" t="s">
        <v>38</v>
      </c>
      <c r="C232" s="3" t="s">
        <v>61</v>
      </c>
      <c r="D232" s="3" t="s">
        <v>1373</v>
      </c>
      <c r="E232" s="3" t="s">
        <v>171</v>
      </c>
      <c r="F232" s="8" t="s">
        <v>52</v>
      </c>
      <c r="G232" s="10">
        <v>11.003</v>
      </c>
      <c r="H232" s="7">
        <v>45779.0</v>
      </c>
      <c r="I232" s="3" t="s">
        <v>68</v>
      </c>
      <c r="J232" s="3" t="s">
        <v>1423</v>
      </c>
      <c r="K232" s="3" t="s">
        <v>520</v>
      </c>
      <c r="L232" s="3" t="s">
        <v>672</v>
      </c>
      <c r="M232" s="4" t="str">
        <f>VLOOKUP(C232,Apoio!A:B,2,0)</f>
        <v>11-50</v>
      </c>
    </row>
    <row r="233">
      <c r="A233" s="3" t="s">
        <v>1382</v>
      </c>
      <c r="B233" s="3" t="s">
        <v>59</v>
      </c>
      <c r="C233" s="3" t="s">
        <v>61</v>
      </c>
      <c r="D233" s="3" t="s">
        <v>1385</v>
      </c>
      <c r="E233" s="3" t="s">
        <v>467</v>
      </c>
      <c r="F233" s="8" t="s">
        <v>52</v>
      </c>
      <c r="G233" s="10">
        <v>63.773</v>
      </c>
      <c r="H233" s="7">
        <v>44806.0</v>
      </c>
      <c r="I233" s="3" t="s">
        <v>59</v>
      </c>
      <c r="J233" s="3" t="s">
        <v>1424</v>
      </c>
      <c r="K233" s="3" t="s">
        <v>520</v>
      </c>
      <c r="L233" s="3" t="s">
        <v>72</v>
      </c>
      <c r="M233" s="4" t="str">
        <f>VLOOKUP(C233,Apoio!A:B,2,0)</f>
        <v>11-50</v>
      </c>
    </row>
    <row r="234">
      <c r="A234" s="3" t="s">
        <v>1425</v>
      </c>
      <c r="B234" s="3" t="s">
        <v>38</v>
      </c>
      <c r="C234" s="3" t="s">
        <v>41</v>
      </c>
      <c r="D234" s="3" t="s">
        <v>1426</v>
      </c>
      <c r="E234" s="3" t="s">
        <v>171</v>
      </c>
      <c r="F234" s="8" t="s">
        <v>52</v>
      </c>
      <c r="G234" s="10">
        <v>18.25</v>
      </c>
      <c r="H234" s="7">
        <v>45797.0</v>
      </c>
      <c r="I234" s="3" t="s">
        <v>68</v>
      </c>
      <c r="J234" s="3" t="s">
        <v>1428</v>
      </c>
      <c r="K234" s="3" t="s">
        <v>1430</v>
      </c>
      <c r="L234" s="3" t="s">
        <v>172</v>
      </c>
      <c r="M234" s="4" t="str">
        <f>VLOOKUP(C234,Apoio!A:B,2,0)</f>
        <v>251-500</v>
      </c>
    </row>
    <row r="235">
      <c r="A235" s="22" t="s">
        <v>1432</v>
      </c>
      <c r="B235" s="3" t="s">
        <v>289</v>
      </c>
      <c r="C235" s="3" t="s">
        <v>109</v>
      </c>
      <c r="D235" s="3" t="s">
        <v>1433</v>
      </c>
      <c r="E235" s="3" t="s">
        <v>171</v>
      </c>
      <c r="F235" s="8" t="s">
        <v>52</v>
      </c>
      <c r="G235" s="10">
        <v>15.724</v>
      </c>
      <c r="H235" s="7">
        <v>45805.0</v>
      </c>
      <c r="I235" s="3" t="s">
        <v>670</v>
      </c>
      <c r="J235" s="3" t="s">
        <v>1435</v>
      </c>
      <c r="K235" s="3" t="s">
        <v>1437</v>
      </c>
      <c r="L235" s="3" t="s">
        <v>72</v>
      </c>
      <c r="M235" s="4" t="str">
        <f>VLOOKUP(C235,Apoio!A:B,2,0)</f>
        <v>101-250</v>
      </c>
    </row>
    <row r="236">
      <c r="A236" s="3" t="s">
        <v>1388</v>
      </c>
      <c r="B236" s="3" t="s">
        <v>76</v>
      </c>
      <c r="C236" s="3" t="s">
        <v>61</v>
      </c>
      <c r="D236" s="3" t="s">
        <v>1390</v>
      </c>
      <c r="E236" s="3" t="s">
        <v>66</v>
      </c>
      <c r="F236" s="8" t="s">
        <v>52</v>
      </c>
      <c r="G236" s="10">
        <v>43.855</v>
      </c>
      <c r="H236" s="7">
        <v>44314.0</v>
      </c>
      <c r="I236" s="3" t="s">
        <v>670</v>
      </c>
      <c r="J236" s="3" t="s">
        <v>1440</v>
      </c>
      <c r="K236" s="3" t="s">
        <v>1441</v>
      </c>
      <c r="L236" s="3" t="s">
        <v>72</v>
      </c>
      <c r="M236" s="4" t="str">
        <f>VLOOKUP(C236,Apoio!A:B,2,0)</f>
        <v>11-50</v>
      </c>
    </row>
    <row r="237">
      <c r="A237" s="3" t="s">
        <v>1393</v>
      </c>
      <c r="B237" s="3" t="s">
        <v>59</v>
      </c>
      <c r="C237" s="3" t="s">
        <v>61</v>
      </c>
      <c r="D237" s="3" t="s">
        <v>1394</v>
      </c>
      <c r="E237" s="3" t="s">
        <v>397</v>
      </c>
      <c r="F237" s="8" t="s">
        <v>52</v>
      </c>
      <c r="G237" s="10">
        <v>44.273</v>
      </c>
      <c r="H237" s="7">
        <v>45705.0</v>
      </c>
      <c r="I237" s="3" t="s">
        <v>59</v>
      </c>
      <c r="J237" s="3" t="s">
        <v>1441</v>
      </c>
      <c r="K237" s="3" t="s">
        <v>1441</v>
      </c>
      <c r="L237" s="3" t="s">
        <v>672</v>
      </c>
      <c r="M237" s="4" t="str">
        <f>VLOOKUP(C237,Apoio!A:B,2,0)</f>
        <v>11-50</v>
      </c>
    </row>
    <row r="238">
      <c r="A238" s="3" t="s">
        <v>1398</v>
      </c>
      <c r="B238" s="3" t="s">
        <v>59</v>
      </c>
      <c r="C238" s="3" t="s">
        <v>61</v>
      </c>
      <c r="D238" s="3" t="s">
        <v>1400</v>
      </c>
      <c r="E238" s="3" t="s">
        <v>66</v>
      </c>
      <c r="F238" s="8" t="s">
        <v>52</v>
      </c>
      <c r="G238" s="10">
        <v>87.833</v>
      </c>
      <c r="H238" s="7">
        <v>45328.0</v>
      </c>
      <c r="I238" s="3" t="s">
        <v>59</v>
      </c>
      <c r="J238" s="3" t="s">
        <v>1445</v>
      </c>
      <c r="K238" s="3" t="s">
        <v>1441</v>
      </c>
      <c r="L238" s="3" t="s">
        <v>172</v>
      </c>
      <c r="M238" s="4" t="str">
        <f>VLOOKUP(C238,Apoio!A:B,2,0)</f>
        <v>11-50</v>
      </c>
    </row>
    <row r="239">
      <c r="A239" s="3" t="s">
        <v>1447</v>
      </c>
      <c r="B239" s="3" t="s">
        <v>59</v>
      </c>
      <c r="C239" s="3" t="s">
        <v>78</v>
      </c>
      <c r="D239" s="3" t="s">
        <v>1448</v>
      </c>
      <c r="E239" s="3" t="s">
        <v>171</v>
      </c>
      <c r="F239" s="8" t="s">
        <v>52</v>
      </c>
      <c r="G239" s="10">
        <v>83.711</v>
      </c>
      <c r="H239" s="7">
        <v>44327.0</v>
      </c>
      <c r="I239" s="3" t="s">
        <v>167</v>
      </c>
      <c r="J239" s="3" t="s">
        <v>1449</v>
      </c>
      <c r="K239" s="3" t="s">
        <v>1450</v>
      </c>
      <c r="L239" s="3" t="s">
        <v>72</v>
      </c>
      <c r="M239" s="4" t="str">
        <f>VLOOKUP(C239,Apoio!A:B,2,0)</f>
        <v>51-100</v>
      </c>
    </row>
    <row r="240">
      <c r="A240" s="3" t="s">
        <v>1053</v>
      </c>
      <c r="B240" s="3" t="s">
        <v>38</v>
      </c>
      <c r="C240" s="3" t="s">
        <v>61</v>
      </c>
      <c r="D240" s="3" t="s">
        <v>1075</v>
      </c>
      <c r="E240" s="3" t="s">
        <v>1283</v>
      </c>
      <c r="F240" s="8" t="s">
        <v>52</v>
      </c>
      <c r="G240" s="10">
        <v>39.104</v>
      </c>
      <c r="H240" s="14">
        <v>45643.0</v>
      </c>
      <c r="I240" s="3" t="s">
        <v>167</v>
      </c>
      <c r="J240" s="3" t="s">
        <v>1454</v>
      </c>
      <c r="K240" s="3" t="s">
        <v>1455</v>
      </c>
      <c r="L240" s="3" t="s">
        <v>172</v>
      </c>
      <c r="M240" s="4" t="str">
        <f>VLOOKUP(C240,Apoio!A:B,2,0)</f>
        <v>11-50</v>
      </c>
    </row>
    <row r="241">
      <c r="A241" s="3" t="s">
        <v>1434</v>
      </c>
      <c r="B241" s="3" t="s">
        <v>59</v>
      </c>
      <c r="C241" s="3" t="s">
        <v>61</v>
      </c>
      <c r="D241" s="3" t="s">
        <v>1436</v>
      </c>
      <c r="E241" s="3" t="s">
        <v>1283</v>
      </c>
      <c r="F241" s="8" t="s">
        <v>52</v>
      </c>
      <c r="G241" s="10">
        <v>87.073</v>
      </c>
      <c r="H241" s="7">
        <v>42956.0</v>
      </c>
      <c r="I241" s="3" t="s">
        <v>59</v>
      </c>
      <c r="J241" s="3" t="s">
        <v>1459</v>
      </c>
      <c r="K241" s="3" t="s">
        <v>1459</v>
      </c>
      <c r="L241" s="3" t="s">
        <v>72</v>
      </c>
      <c r="M241" s="4" t="str">
        <f>VLOOKUP(C241,Apoio!A:B,2,0)</f>
        <v>11-50</v>
      </c>
    </row>
    <row r="242">
      <c r="A242" s="3" t="s">
        <v>1442</v>
      </c>
      <c r="B242" s="3" t="s">
        <v>59</v>
      </c>
      <c r="C242" s="3" t="s">
        <v>61</v>
      </c>
      <c r="D242" s="3" t="s">
        <v>1443</v>
      </c>
      <c r="E242" s="3" t="s">
        <v>397</v>
      </c>
      <c r="F242" s="8" t="s">
        <v>52</v>
      </c>
      <c r="G242" s="10">
        <v>33.61</v>
      </c>
      <c r="H242" s="7">
        <v>45994.0</v>
      </c>
      <c r="I242" s="3" t="s">
        <v>59</v>
      </c>
      <c r="J242" s="3" t="s">
        <v>1461</v>
      </c>
      <c r="K242" s="3" t="s">
        <v>1381</v>
      </c>
      <c r="L242" s="3" t="s">
        <v>172</v>
      </c>
      <c r="M242" s="4" t="str">
        <f>VLOOKUP(C242,Apoio!A:B,2,0)</f>
        <v>11-50</v>
      </c>
    </row>
    <row r="243">
      <c r="A243" s="3" t="s">
        <v>1451</v>
      </c>
      <c r="B243" s="3" t="s">
        <v>38</v>
      </c>
      <c r="C243" s="3" t="s">
        <v>78</v>
      </c>
      <c r="D243" s="3" t="s">
        <v>1452</v>
      </c>
      <c r="E243" s="3" t="s">
        <v>171</v>
      </c>
      <c r="F243" s="8" t="s">
        <v>52</v>
      </c>
      <c r="G243" s="10">
        <v>123.443</v>
      </c>
      <c r="H243" s="7">
        <v>43775.0</v>
      </c>
      <c r="I243" s="3" t="s">
        <v>68</v>
      </c>
      <c r="J243" s="3" t="s">
        <v>1381</v>
      </c>
      <c r="K243" s="3" t="s">
        <v>1381</v>
      </c>
      <c r="L243" s="3" t="s">
        <v>72</v>
      </c>
      <c r="M243" s="4" t="str">
        <f>VLOOKUP(C243,Apoio!A:B,2,0)</f>
        <v>51-100</v>
      </c>
    </row>
    <row r="244">
      <c r="A244" s="3" t="s">
        <v>1463</v>
      </c>
      <c r="B244" s="3" t="s">
        <v>59</v>
      </c>
      <c r="C244" s="3" t="s">
        <v>61</v>
      </c>
      <c r="D244" s="3" t="s">
        <v>1464</v>
      </c>
      <c r="E244" s="3" t="s">
        <v>397</v>
      </c>
      <c r="F244" s="8" t="s">
        <v>52</v>
      </c>
      <c r="G244" s="10">
        <v>29.081</v>
      </c>
      <c r="H244" s="14">
        <v>45636.0</v>
      </c>
      <c r="I244" s="3" t="s">
        <v>59</v>
      </c>
      <c r="J244" s="3" t="s">
        <v>1466</v>
      </c>
      <c r="K244" s="3" t="s">
        <v>1467</v>
      </c>
      <c r="L244" s="3" t="s">
        <v>72</v>
      </c>
      <c r="M244" s="4" t="str">
        <f>VLOOKUP(C244,Apoio!A:B,2,0)</f>
        <v>11-50</v>
      </c>
    </row>
    <row r="245">
      <c r="A245" s="22" t="s">
        <v>1469</v>
      </c>
      <c r="B245" s="3" t="s">
        <v>38</v>
      </c>
      <c r="C245" s="3" t="s">
        <v>78</v>
      </c>
      <c r="D245" s="3" t="s">
        <v>1470</v>
      </c>
      <c r="E245" s="3" t="s">
        <v>171</v>
      </c>
      <c r="F245" s="8" t="s">
        <v>52</v>
      </c>
      <c r="G245" s="10">
        <v>54.528</v>
      </c>
      <c r="H245" s="7">
        <v>44994.0</v>
      </c>
      <c r="I245" s="3" t="s">
        <v>68</v>
      </c>
      <c r="J245" s="3" t="s">
        <v>1472</v>
      </c>
      <c r="K245" s="3" t="s">
        <v>1473</v>
      </c>
      <c r="L245" s="3" t="s">
        <v>672</v>
      </c>
      <c r="M245" s="4" t="str">
        <f>VLOOKUP(C245,Apoio!A:B,2,0)</f>
        <v>51-100</v>
      </c>
    </row>
    <row r="246">
      <c r="A246" s="3" t="s">
        <v>1475</v>
      </c>
      <c r="B246" s="3" t="s">
        <v>76</v>
      </c>
      <c r="C246" s="3" t="s">
        <v>61</v>
      </c>
      <c r="D246" s="3" t="s">
        <v>1476</v>
      </c>
      <c r="E246" s="3" t="s">
        <v>171</v>
      </c>
      <c r="F246" s="8" t="s">
        <v>52</v>
      </c>
      <c r="G246" s="10">
        <v>33.845</v>
      </c>
      <c r="H246" s="7">
        <v>44809.0</v>
      </c>
      <c r="I246" s="3" t="s">
        <v>670</v>
      </c>
      <c r="J246" s="3" t="s">
        <v>1461</v>
      </c>
      <c r="K246" s="3" t="s">
        <v>1461</v>
      </c>
      <c r="L246" s="3" t="s">
        <v>72</v>
      </c>
      <c r="M246" s="4" t="str">
        <f>VLOOKUP(C246,Apoio!A:B,2,0)</f>
        <v>11-50</v>
      </c>
    </row>
    <row r="247">
      <c r="A247" s="3" t="s">
        <v>1477</v>
      </c>
      <c r="B247" s="3" t="s">
        <v>76</v>
      </c>
      <c r="C247" s="3" t="s">
        <v>61</v>
      </c>
      <c r="D247" s="3" t="s">
        <v>1478</v>
      </c>
      <c r="E247" s="3" t="s">
        <v>710</v>
      </c>
      <c r="F247" s="8" t="s">
        <v>52</v>
      </c>
      <c r="G247" s="10">
        <v>37.801</v>
      </c>
      <c r="H247" s="7">
        <v>45740.0</v>
      </c>
      <c r="I247" s="3" t="s">
        <v>670</v>
      </c>
      <c r="J247" s="3" t="s">
        <v>1479</v>
      </c>
      <c r="K247" s="3" t="s">
        <v>1461</v>
      </c>
      <c r="L247" s="3" t="s">
        <v>672</v>
      </c>
      <c r="M247" s="4" t="str">
        <f>VLOOKUP(C247,Apoio!A:B,2,0)</f>
        <v>11-50</v>
      </c>
    </row>
    <row r="248">
      <c r="A248" s="3" t="s">
        <v>1480</v>
      </c>
      <c r="B248" s="3" t="s">
        <v>59</v>
      </c>
      <c r="C248" s="3" t="s">
        <v>61</v>
      </c>
      <c r="D248" s="3" t="s">
        <v>1481</v>
      </c>
      <c r="E248" s="3" t="s">
        <v>1483</v>
      </c>
      <c r="F248" s="8" t="s">
        <v>52</v>
      </c>
      <c r="G248" s="10">
        <v>43.737</v>
      </c>
      <c r="H248" s="7">
        <v>45401.0</v>
      </c>
      <c r="I248" s="3" t="s">
        <v>59</v>
      </c>
      <c r="J248" s="3" t="s">
        <v>1485</v>
      </c>
      <c r="K248" s="3" t="s">
        <v>1461</v>
      </c>
      <c r="L248" s="3" t="s">
        <v>72</v>
      </c>
      <c r="M248" s="4" t="str">
        <f>VLOOKUP(C248,Apoio!A:B,2,0)</f>
        <v>11-50</v>
      </c>
    </row>
    <row r="249">
      <c r="A249" s="3" t="s">
        <v>1487</v>
      </c>
      <c r="B249" s="3" t="s">
        <v>38</v>
      </c>
      <c r="C249" s="3" t="s">
        <v>78</v>
      </c>
      <c r="D249" s="3" t="s">
        <v>1488</v>
      </c>
      <c r="E249" s="3" t="s">
        <v>171</v>
      </c>
      <c r="F249" s="8" t="s">
        <v>52</v>
      </c>
      <c r="G249" s="10">
        <v>46.766</v>
      </c>
      <c r="H249" s="14">
        <v>44859.0</v>
      </c>
      <c r="I249" s="3" t="s">
        <v>68</v>
      </c>
      <c r="J249" s="3" t="s">
        <v>1489</v>
      </c>
      <c r="K249" s="3" t="s">
        <v>1461</v>
      </c>
      <c r="L249" s="3" t="s">
        <v>72</v>
      </c>
      <c r="M249" s="4" t="str">
        <f>VLOOKUP(C249,Apoio!A:B,2,0)</f>
        <v>51-100</v>
      </c>
    </row>
    <row r="250">
      <c r="A250" s="3" t="s">
        <v>1491</v>
      </c>
      <c r="B250" s="3" t="s">
        <v>38</v>
      </c>
      <c r="C250" s="3" t="s">
        <v>61</v>
      </c>
      <c r="D250" s="3" t="s">
        <v>1492</v>
      </c>
      <c r="E250" s="3" t="s">
        <v>467</v>
      </c>
      <c r="F250" s="8" t="s">
        <v>52</v>
      </c>
      <c r="G250" s="10">
        <v>58.546</v>
      </c>
      <c r="H250" s="7">
        <v>45597.0</v>
      </c>
      <c r="I250" s="3" t="s">
        <v>68</v>
      </c>
      <c r="J250" s="3" t="s">
        <v>1461</v>
      </c>
      <c r="K250" s="3" t="s">
        <v>1461</v>
      </c>
      <c r="L250" s="3" t="s">
        <v>172</v>
      </c>
      <c r="M250" s="4" t="str">
        <f>VLOOKUP(C250,Apoio!A:B,2,0)</f>
        <v>11-50</v>
      </c>
    </row>
    <row r="251">
      <c r="A251" s="3" t="s">
        <v>1494</v>
      </c>
      <c r="B251" s="3" t="s">
        <v>59</v>
      </c>
      <c r="C251" s="3" t="s">
        <v>78</v>
      </c>
      <c r="D251" s="3" t="s">
        <v>1495</v>
      </c>
      <c r="E251" s="3" t="s">
        <v>66</v>
      </c>
      <c r="F251" s="8" t="s">
        <v>52</v>
      </c>
      <c r="G251" s="10">
        <v>107.007</v>
      </c>
      <c r="H251" s="7">
        <v>43678.0</v>
      </c>
      <c r="I251" s="3" t="s">
        <v>59</v>
      </c>
      <c r="J251" s="3" t="s">
        <v>1461</v>
      </c>
      <c r="K251" s="3" t="s">
        <v>1461</v>
      </c>
      <c r="L251" s="3" t="s">
        <v>72</v>
      </c>
      <c r="M251" s="4" t="str">
        <f>VLOOKUP(C251,Apoio!A:B,2,0)</f>
        <v>51-100</v>
      </c>
    </row>
    <row r="252">
      <c r="A252" s="22" t="s">
        <v>1496</v>
      </c>
      <c r="B252" s="3" t="s">
        <v>38</v>
      </c>
      <c r="C252" s="3" t="s">
        <v>61</v>
      </c>
      <c r="D252" s="3" t="s">
        <v>1504</v>
      </c>
      <c r="E252" s="3" t="s">
        <v>66</v>
      </c>
      <c r="F252" s="8" t="s">
        <v>52</v>
      </c>
      <c r="G252" s="10">
        <v>29.496</v>
      </c>
      <c r="H252" s="7">
        <v>45867.0</v>
      </c>
      <c r="I252" s="3" t="s">
        <v>68</v>
      </c>
      <c r="J252" s="3" t="s">
        <v>1506</v>
      </c>
      <c r="K252" s="3" t="s">
        <v>1508</v>
      </c>
      <c r="L252" s="3" t="s">
        <v>672</v>
      </c>
      <c r="M252" s="4" t="str">
        <f>VLOOKUP(C252,Apoio!A:B,2,0)</f>
        <v>11-50</v>
      </c>
    </row>
    <row r="253">
      <c r="A253" s="3" t="s">
        <v>1513</v>
      </c>
      <c r="B253" s="3" t="s">
        <v>38</v>
      </c>
      <c r="C253" s="3" t="s">
        <v>61</v>
      </c>
      <c r="D253" s="3" t="s">
        <v>1514</v>
      </c>
      <c r="E253" s="3" t="s">
        <v>1311</v>
      </c>
      <c r="F253" s="8" t="s">
        <v>52</v>
      </c>
      <c r="G253" s="10">
        <v>45.961</v>
      </c>
      <c r="H253" s="7">
        <v>45831.0</v>
      </c>
      <c r="I253" s="3" t="s">
        <v>68</v>
      </c>
      <c r="J253" s="3" t="s">
        <v>1516</v>
      </c>
      <c r="K253" s="3" t="s">
        <v>1517</v>
      </c>
      <c r="L253" s="3" t="s">
        <v>72</v>
      </c>
      <c r="M253" s="4" t="str">
        <f>VLOOKUP(C253,Apoio!A:B,2,0)</f>
        <v>11-50</v>
      </c>
    </row>
    <row r="254">
      <c r="A254" s="3" t="s">
        <v>1518</v>
      </c>
      <c r="B254" s="3" t="s">
        <v>76</v>
      </c>
      <c r="C254" s="3" t="s">
        <v>61</v>
      </c>
      <c r="D254" s="3" t="s">
        <v>1519</v>
      </c>
      <c r="E254" s="3" t="s">
        <v>970</v>
      </c>
      <c r="F254" s="8" t="s">
        <v>52</v>
      </c>
      <c r="G254" s="10">
        <v>60.746</v>
      </c>
      <c r="H254" s="14">
        <v>44845.0</v>
      </c>
      <c r="I254" s="3" t="s">
        <v>670</v>
      </c>
      <c r="J254" s="3" t="s">
        <v>1521</v>
      </c>
      <c r="K254" s="3" t="s">
        <v>1517</v>
      </c>
      <c r="L254" s="3" t="s">
        <v>72</v>
      </c>
      <c r="M254" s="4" t="str">
        <f>VLOOKUP(C254,Apoio!A:B,2,0)</f>
        <v>11-50</v>
      </c>
    </row>
    <row r="255">
      <c r="A255" s="3" t="s">
        <v>1525</v>
      </c>
      <c r="B255" s="3" t="s">
        <v>685</v>
      </c>
      <c r="C255" s="3" t="s">
        <v>533</v>
      </c>
      <c r="D255" s="3" t="s">
        <v>323</v>
      </c>
      <c r="E255" s="3" t="s">
        <v>1527</v>
      </c>
      <c r="F255" s="8" t="s">
        <v>52</v>
      </c>
      <c r="G255" s="10">
        <v>130.079</v>
      </c>
      <c r="H255" s="7">
        <v>45824.0</v>
      </c>
      <c r="I255" s="3" t="s">
        <v>364</v>
      </c>
      <c r="J255" s="3" t="s">
        <v>1528</v>
      </c>
      <c r="K255" s="3" t="s">
        <v>1528</v>
      </c>
      <c r="L255" s="3" t="s">
        <v>172</v>
      </c>
      <c r="M255" s="4" t="str">
        <f>VLOOKUP(C255,Apoio!A:B,2,0)</f>
        <v>10k+</v>
      </c>
    </row>
    <row r="256">
      <c r="A256" s="3" t="s">
        <v>1530</v>
      </c>
      <c r="B256" s="3" t="s">
        <v>59</v>
      </c>
      <c r="C256" s="3" t="s">
        <v>61</v>
      </c>
      <c r="D256" s="3" t="s">
        <v>1531</v>
      </c>
      <c r="E256" s="3" t="s">
        <v>171</v>
      </c>
      <c r="F256" s="8" t="s">
        <v>52</v>
      </c>
      <c r="G256" s="10">
        <v>30.118</v>
      </c>
      <c r="H256" s="7">
        <v>45779.0</v>
      </c>
      <c r="I256" s="3" t="s">
        <v>59</v>
      </c>
      <c r="J256" s="3" t="s">
        <v>1532</v>
      </c>
      <c r="K256" s="3" t="s">
        <v>1479</v>
      </c>
      <c r="L256" s="3" t="s">
        <v>72</v>
      </c>
      <c r="M256" s="4" t="str">
        <f>VLOOKUP(C256,Apoio!A:B,2,0)</f>
        <v>11-50</v>
      </c>
    </row>
    <row r="257">
      <c r="A257" s="3" t="s">
        <v>1534</v>
      </c>
      <c r="B257" s="3" t="s">
        <v>76</v>
      </c>
      <c r="C257" s="3" t="s">
        <v>61</v>
      </c>
      <c r="D257" s="3" t="s">
        <v>1535</v>
      </c>
      <c r="E257" s="3" t="s">
        <v>171</v>
      </c>
      <c r="F257" s="8" t="s">
        <v>52</v>
      </c>
      <c r="G257" s="10">
        <v>75.885</v>
      </c>
      <c r="H257" s="7">
        <v>44944.0</v>
      </c>
      <c r="I257" s="3" t="s">
        <v>670</v>
      </c>
      <c r="J257" s="3" t="s">
        <v>1536</v>
      </c>
      <c r="K257" s="3" t="s">
        <v>1479</v>
      </c>
      <c r="L257" s="3" t="s">
        <v>72</v>
      </c>
      <c r="M257" s="4" t="str">
        <f>VLOOKUP(C257,Apoio!A:B,2,0)</f>
        <v>11-50</v>
      </c>
    </row>
    <row r="258">
      <c r="A258" s="3" t="s">
        <v>1538</v>
      </c>
      <c r="B258" s="3" t="s">
        <v>38</v>
      </c>
      <c r="C258" s="3" t="s">
        <v>78</v>
      </c>
      <c r="D258" s="3" t="s">
        <v>1540</v>
      </c>
      <c r="E258" s="3" t="s">
        <v>171</v>
      </c>
      <c r="F258" s="8" t="s">
        <v>52</v>
      </c>
      <c r="G258" s="10">
        <v>48.831</v>
      </c>
      <c r="H258" s="7">
        <v>45441.0</v>
      </c>
      <c r="I258" s="3" t="s">
        <v>68</v>
      </c>
      <c r="J258" s="3" t="s">
        <v>1541</v>
      </c>
      <c r="K258" s="3" t="s">
        <v>1541</v>
      </c>
      <c r="L258" s="3" t="s">
        <v>72</v>
      </c>
      <c r="M258" s="4" t="str">
        <f>VLOOKUP(C258,Apoio!A:B,2,0)</f>
        <v>51-100</v>
      </c>
    </row>
    <row r="259">
      <c r="A259" s="3" t="s">
        <v>1543</v>
      </c>
      <c r="B259" s="3" t="s">
        <v>76</v>
      </c>
      <c r="C259" s="3" t="s">
        <v>61</v>
      </c>
      <c r="D259" s="3" t="s">
        <v>1544</v>
      </c>
      <c r="E259" s="3" t="s">
        <v>171</v>
      </c>
      <c r="F259" s="8" t="s">
        <v>52</v>
      </c>
      <c r="G259" s="10">
        <v>29.008</v>
      </c>
      <c r="H259" s="7">
        <v>45369.0</v>
      </c>
      <c r="I259" s="3" t="s">
        <v>670</v>
      </c>
      <c r="J259" s="3" t="s">
        <v>1545</v>
      </c>
      <c r="K259" s="3" t="s">
        <v>1546</v>
      </c>
      <c r="L259" s="3" t="s">
        <v>672</v>
      </c>
      <c r="M259" s="4" t="str">
        <f>VLOOKUP(C259,Apoio!A:B,2,0)</f>
        <v>11-50</v>
      </c>
    </row>
    <row r="260">
      <c r="A260" s="3" t="s">
        <v>1548</v>
      </c>
      <c r="B260" s="3" t="s">
        <v>59</v>
      </c>
      <c r="C260" s="3" t="s">
        <v>61</v>
      </c>
      <c r="D260" s="3" t="s">
        <v>1549</v>
      </c>
      <c r="E260" s="3" t="s">
        <v>171</v>
      </c>
      <c r="F260" s="8" t="s">
        <v>52</v>
      </c>
      <c r="G260" s="10">
        <v>56.689</v>
      </c>
      <c r="H260" s="7">
        <v>44403.0</v>
      </c>
      <c r="I260" s="3" t="s">
        <v>59</v>
      </c>
      <c r="J260" s="3" t="s">
        <v>1550</v>
      </c>
      <c r="K260" s="3" t="s">
        <v>1550</v>
      </c>
      <c r="L260" s="3" t="s">
        <v>672</v>
      </c>
      <c r="M260" s="4" t="str">
        <f>VLOOKUP(C260,Apoio!A:B,2,0)</f>
        <v>11-50</v>
      </c>
    </row>
    <row r="261">
      <c r="A261" s="3" t="s">
        <v>1551</v>
      </c>
      <c r="B261" s="3" t="s">
        <v>685</v>
      </c>
      <c r="C261" s="3" t="s">
        <v>533</v>
      </c>
      <c r="D261" s="3" t="s">
        <v>1552</v>
      </c>
      <c r="E261" s="3" t="s">
        <v>171</v>
      </c>
      <c r="F261" s="8" t="s">
        <v>52</v>
      </c>
      <c r="G261" s="10">
        <v>132.92</v>
      </c>
      <c r="H261" s="7">
        <v>45798.0</v>
      </c>
      <c r="I261" s="3" t="s">
        <v>167</v>
      </c>
      <c r="J261" s="3" t="s">
        <v>1553</v>
      </c>
      <c r="K261" s="3" t="s">
        <v>1554</v>
      </c>
      <c r="L261" s="3" t="s">
        <v>72</v>
      </c>
      <c r="M261" s="4" t="str">
        <f>VLOOKUP(C261,Apoio!A:B,2,0)</f>
        <v>10k+</v>
      </c>
    </row>
    <row r="262">
      <c r="A262" s="3" t="s">
        <v>1556</v>
      </c>
      <c r="B262" s="3" t="s">
        <v>76</v>
      </c>
      <c r="C262" s="3" t="s">
        <v>78</v>
      </c>
      <c r="D262" s="3" t="s">
        <v>1557</v>
      </c>
      <c r="E262" s="3" t="s">
        <v>1558</v>
      </c>
      <c r="F262" s="8" t="s">
        <v>52</v>
      </c>
      <c r="G262" s="10">
        <v>395.718</v>
      </c>
      <c r="H262" s="7">
        <v>38737.0</v>
      </c>
      <c r="I262" s="3" t="s">
        <v>670</v>
      </c>
      <c r="J262" s="3" t="s">
        <v>1559</v>
      </c>
      <c r="K262" s="3" t="s">
        <v>1559</v>
      </c>
      <c r="L262" s="3" t="s">
        <v>172</v>
      </c>
      <c r="M262" s="4" t="str">
        <f>VLOOKUP(C262,Apoio!A:B,2,0)</f>
        <v>51-100</v>
      </c>
    </row>
    <row r="263">
      <c r="A263" s="3" t="s">
        <v>1561</v>
      </c>
      <c r="B263" s="3" t="s">
        <v>76</v>
      </c>
      <c r="C263" s="3" t="s">
        <v>61</v>
      </c>
      <c r="D263" s="3" t="s">
        <v>1562</v>
      </c>
      <c r="E263" s="3" t="s">
        <v>66</v>
      </c>
      <c r="F263" s="8" t="s">
        <v>52</v>
      </c>
      <c r="G263" s="10">
        <v>57.914</v>
      </c>
      <c r="H263" s="7">
        <v>45416.0</v>
      </c>
      <c r="I263" s="3" t="s">
        <v>670</v>
      </c>
      <c r="J263" s="3" t="s">
        <v>1563</v>
      </c>
      <c r="K263" s="3" t="s">
        <v>1563</v>
      </c>
      <c r="L263" s="3" t="s">
        <v>172</v>
      </c>
      <c r="M263" s="4" t="str">
        <f>VLOOKUP(C263,Apoio!A:B,2,0)</f>
        <v>11-50</v>
      </c>
    </row>
    <row r="264">
      <c r="A264" s="3" t="s">
        <v>1564</v>
      </c>
      <c r="B264" s="3" t="s">
        <v>76</v>
      </c>
      <c r="C264" s="3" t="s">
        <v>61</v>
      </c>
      <c r="D264" s="3" t="s">
        <v>1566</v>
      </c>
      <c r="E264" s="3" t="s">
        <v>710</v>
      </c>
      <c r="F264" s="8" t="s">
        <v>52</v>
      </c>
      <c r="G264" s="10">
        <v>73.687</v>
      </c>
      <c r="H264" s="14">
        <v>44908.0</v>
      </c>
      <c r="I264" s="3" t="s">
        <v>670</v>
      </c>
      <c r="J264" s="3" t="s">
        <v>1568</v>
      </c>
      <c r="K264" s="3" t="s">
        <v>1569</v>
      </c>
      <c r="L264" s="3" t="s">
        <v>72</v>
      </c>
      <c r="M264" s="4" t="str">
        <f>VLOOKUP(C264,Apoio!A:B,2,0)</f>
        <v>11-50</v>
      </c>
    </row>
    <row r="265">
      <c r="A265" s="3" t="s">
        <v>1571</v>
      </c>
      <c r="B265" s="3" t="s">
        <v>685</v>
      </c>
      <c r="C265" s="3" t="s">
        <v>61</v>
      </c>
      <c r="D265" s="3" t="s">
        <v>1572</v>
      </c>
      <c r="E265" s="3" t="s">
        <v>48</v>
      </c>
      <c r="F265" s="1" t="s">
        <v>51</v>
      </c>
      <c r="G265" s="10">
        <v>40.954</v>
      </c>
      <c r="H265" s="7">
        <v>46057.0</v>
      </c>
      <c r="I265" s="3" t="s">
        <v>364</v>
      </c>
      <c r="J265" s="3" t="s">
        <v>1573</v>
      </c>
      <c r="K265" s="3" t="s">
        <v>1574</v>
      </c>
      <c r="L265" s="3" t="s">
        <v>172</v>
      </c>
      <c r="M265" s="4" t="str">
        <f>VLOOKUP(C265,Apoio!A:B,2,0)</f>
        <v>11-50</v>
      </c>
    </row>
    <row r="266">
      <c r="A266" s="3" t="s">
        <v>1575</v>
      </c>
      <c r="B266" s="3" t="s">
        <v>685</v>
      </c>
      <c r="C266" s="3" t="s">
        <v>61</v>
      </c>
      <c r="D266" s="3" t="s">
        <v>1578</v>
      </c>
      <c r="E266" s="3" t="s">
        <v>188</v>
      </c>
      <c r="F266" s="1" t="s">
        <v>51</v>
      </c>
      <c r="G266" s="10">
        <v>4.935</v>
      </c>
      <c r="H266" s="7">
        <v>46035.0</v>
      </c>
      <c r="I266" s="3" t="s">
        <v>364</v>
      </c>
      <c r="J266" s="3" t="s">
        <v>1579</v>
      </c>
      <c r="K266" s="3" t="s">
        <v>1580</v>
      </c>
      <c r="L266" s="3" t="s">
        <v>172</v>
      </c>
      <c r="M266" s="4" t="str">
        <f>VLOOKUP(C266,Apoio!A:B,2,0)</f>
        <v>11-50</v>
      </c>
    </row>
    <row r="267">
      <c r="A267" s="3" t="s">
        <v>1582</v>
      </c>
      <c r="B267" s="3" t="s">
        <v>391</v>
      </c>
      <c r="C267" s="3" t="s">
        <v>61</v>
      </c>
      <c r="D267" s="3" t="s">
        <v>1583</v>
      </c>
      <c r="E267" s="3" t="s">
        <v>488</v>
      </c>
      <c r="F267" s="8" t="s">
        <v>52</v>
      </c>
      <c r="G267" s="10">
        <v>86.826</v>
      </c>
      <c r="H267" s="7">
        <v>43364.0</v>
      </c>
      <c r="I267" s="3" t="s">
        <v>736</v>
      </c>
      <c r="J267" s="3" t="s">
        <v>1585</v>
      </c>
      <c r="K267" s="3" t="s">
        <v>1585</v>
      </c>
      <c r="L267" s="3" t="s">
        <v>72</v>
      </c>
      <c r="M267" s="4" t="str">
        <f>VLOOKUP(C267,Apoio!A:B,2,0)</f>
        <v>11-50</v>
      </c>
    </row>
    <row r="268">
      <c r="A268" s="3" t="s">
        <v>1589</v>
      </c>
      <c r="B268" s="3" t="s">
        <v>685</v>
      </c>
      <c r="C268" s="3" t="s">
        <v>1590</v>
      </c>
      <c r="D268" s="3" t="s">
        <v>1457</v>
      </c>
      <c r="E268" s="3" t="s">
        <v>1591</v>
      </c>
      <c r="F268" s="1" t="s">
        <v>51</v>
      </c>
      <c r="G268" s="6">
        <v>45081.0</v>
      </c>
      <c r="H268" s="7">
        <v>45149.0</v>
      </c>
      <c r="I268" s="3" t="s">
        <v>364</v>
      </c>
      <c r="J268" s="3" t="s">
        <v>1593</v>
      </c>
      <c r="K268" s="3" t="s">
        <v>1593</v>
      </c>
      <c r="L268" s="3" t="s">
        <v>72</v>
      </c>
      <c r="M268" s="4" t="str">
        <f>VLOOKUP(C268,Apoio!A:B,2,0)</f>
        <v>5k-10k</v>
      </c>
    </row>
    <row r="269">
      <c r="A269" s="3" t="s">
        <v>1595</v>
      </c>
      <c r="B269" s="3" t="s">
        <v>38</v>
      </c>
      <c r="C269" s="3" t="s">
        <v>109</v>
      </c>
      <c r="D269" s="3" t="s">
        <v>1596</v>
      </c>
      <c r="E269" s="3" t="s">
        <v>46</v>
      </c>
      <c r="F269" s="1" t="s">
        <v>51</v>
      </c>
      <c r="G269" s="6">
        <v>41028.0</v>
      </c>
      <c r="H269" s="14">
        <v>44517.0</v>
      </c>
      <c r="I269" s="3" t="s">
        <v>68</v>
      </c>
      <c r="J269" s="3" t="s">
        <v>1597</v>
      </c>
      <c r="K269" s="3" t="s">
        <v>1597</v>
      </c>
      <c r="L269" s="3" t="s">
        <v>106</v>
      </c>
      <c r="M269" s="4" t="str">
        <f>VLOOKUP(C269,Apoio!A:B,2,0)</f>
        <v>101-250</v>
      </c>
    </row>
    <row r="270">
      <c r="A270" s="3" t="s">
        <v>1088</v>
      </c>
      <c r="B270" s="3" t="s">
        <v>59</v>
      </c>
      <c r="C270" s="3" t="s">
        <v>61</v>
      </c>
      <c r="D270" s="3" t="s">
        <v>1089</v>
      </c>
      <c r="E270" s="3" t="s">
        <v>261</v>
      </c>
      <c r="F270" s="1" t="s">
        <v>51</v>
      </c>
      <c r="G270" s="6">
        <v>47626.0</v>
      </c>
      <c r="H270" s="7">
        <v>45425.0</v>
      </c>
      <c r="I270" s="3" t="s">
        <v>59</v>
      </c>
      <c r="J270" s="3" t="s">
        <v>1598</v>
      </c>
      <c r="K270" s="3" t="s">
        <v>1599</v>
      </c>
      <c r="L270" s="3" t="s">
        <v>72</v>
      </c>
      <c r="M270" s="4" t="str">
        <f>VLOOKUP(C270,Apoio!A:B,2,0)</f>
        <v>11-50</v>
      </c>
    </row>
    <row r="271">
      <c r="A271" s="22" t="s">
        <v>1340</v>
      </c>
      <c r="B271" s="3" t="s">
        <v>76</v>
      </c>
      <c r="C271" s="3" t="s">
        <v>78</v>
      </c>
      <c r="D271" s="3" t="s">
        <v>1343</v>
      </c>
      <c r="E271" s="3" t="s">
        <v>630</v>
      </c>
      <c r="F271" s="1" t="s">
        <v>51</v>
      </c>
      <c r="G271" s="6">
        <v>43867.0</v>
      </c>
      <c r="H271" s="7">
        <v>46000.0</v>
      </c>
      <c r="I271" s="3" t="s">
        <v>84</v>
      </c>
      <c r="J271" s="3" t="s">
        <v>1603</v>
      </c>
      <c r="K271" s="3" t="s">
        <v>459</v>
      </c>
      <c r="L271" s="3" t="s">
        <v>72</v>
      </c>
      <c r="M271" s="4" t="str">
        <f>VLOOKUP(C271,Apoio!A:B,2,0)</f>
        <v>51-100</v>
      </c>
    </row>
    <row r="272">
      <c r="A272" s="3" t="s">
        <v>1351</v>
      </c>
      <c r="B272" s="3" t="s">
        <v>76</v>
      </c>
      <c r="C272" s="3" t="s">
        <v>109</v>
      </c>
      <c r="D272" s="3" t="s">
        <v>1352</v>
      </c>
      <c r="E272" s="3" t="s">
        <v>46</v>
      </c>
      <c r="F272" s="1" t="s">
        <v>51</v>
      </c>
      <c r="G272" s="6">
        <v>45045.0</v>
      </c>
      <c r="H272" s="7">
        <v>45349.0</v>
      </c>
      <c r="I272" s="3" t="s">
        <v>84</v>
      </c>
      <c r="J272" s="3" t="s">
        <v>1605</v>
      </c>
      <c r="K272" s="3" t="s">
        <v>459</v>
      </c>
      <c r="L272" s="3" t="s">
        <v>72</v>
      </c>
      <c r="M272" s="4" t="str">
        <f>VLOOKUP(C272,Apoio!A:B,2,0)</f>
        <v>101-250</v>
      </c>
    </row>
    <row r="273">
      <c r="A273" s="3" t="s">
        <v>1407</v>
      </c>
      <c r="B273" s="3" t="s">
        <v>38</v>
      </c>
      <c r="C273" s="3" t="s">
        <v>78</v>
      </c>
      <c r="D273" s="3" t="s">
        <v>1408</v>
      </c>
      <c r="E273" s="3" t="s">
        <v>46</v>
      </c>
      <c r="F273" s="1" t="s">
        <v>51</v>
      </c>
      <c r="G273" s="6">
        <v>44322.0</v>
      </c>
      <c r="H273" s="14">
        <v>45985.0</v>
      </c>
      <c r="I273" s="3" t="s">
        <v>68</v>
      </c>
      <c r="J273" s="3" t="s">
        <v>1606</v>
      </c>
      <c r="K273" s="3" t="s">
        <v>1607</v>
      </c>
      <c r="L273" s="3" t="s">
        <v>172</v>
      </c>
      <c r="M273" s="4" t="str">
        <f>VLOOKUP(C273,Apoio!A:B,2,0)</f>
        <v>51-100</v>
      </c>
    </row>
    <row r="274">
      <c r="A274" s="3" t="s">
        <v>1456</v>
      </c>
      <c r="B274" s="3" t="s">
        <v>59</v>
      </c>
      <c r="C274" s="3" t="s">
        <v>61</v>
      </c>
      <c r="D274" s="3" t="s">
        <v>1457</v>
      </c>
      <c r="E274" s="3" t="s">
        <v>46</v>
      </c>
      <c r="F274" s="1" t="s">
        <v>51</v>
      </c>
      <c r="G274" s="6">
        <v>42911.0</v>
      </c>
      <c r="H274" s="7">
        <v>44874.0</v>
      </c>
      <c r="I274" s="3" t="s">
        <v>59</v>
      </c>
      <c r="J274" s="3" t="s">
        <v>649</v>
      </c>
      <c r="K274" s="3" t="s">
        <v>428</v>
      </c>
      <c r="L274" s="3" t="s">
        <v>72</v>
      </c>
      <c r="M274" s="4" t="str">
        <f>VLOOKUP(C274,Apoio!A:B,2,0)</f>
        <v>11-50</v>
      </c>
    </row>
    <row r="275">
      <c r="A275" s="3" t="s">
        <v>1613</v>
      </c>
      <c r="B275" s="3" t="s">
        <v>38</v>
      </c>
      <c r="C275" s="3" t="s">
        <v>61</v>
      </c>
      <c r="D275" s="3" t="s">
        <v>368</v>
      </c>
      <c r="E275" s="3" t="s">
        <v>612</v>
      </c>
      <c r="F275" s="1" t="s">
        <v>51</v>
      </c>
      <c r="G275" s="6">
        <v>45354.0</v>
      </c>
      <c r="H275" s="7">
        <v>45523.0</v>
      </c>
      <c r="I275" s="3" t="s">
        <v>68</v>
      </c>
      <c r="J275" s="3" t="s">
        <v>1614</v>
      </c>
      <c r="K275" s="3" t="s">
        <v>1614</v>
      </c>
      <c r="L275" s="3" t="s">
        <v>172</v>
      </c>
      <c r="M275" s="4" t="str">
        <f>VLOOKUP(C275,Apoio!A:B,2,0)</f>
        <v>11-50</v>
      </c>
    </row>
    <row r="276">
      <c r="A276" s="3" t="s">
        <v>1617</v>
      </c>
      <c r="B276" s="3" t="s">
        <v>59</v>
      </c>
      <c r="C276" s="3" t="s">
        <v>41</v>
      </c>
      <c r="D276" s="3" t="s">
        <v>1618</v>
      </c>
      <c r="E276" s="3" t="s">
        <v>46</v>
      </c>
      <c r="F276" s="1" t="s">
        <v>51</v>
      </c>
      <c r="G276" s="6">
        <v>45407.0</v>
      </c>
      <c r="H276" s="7">
        <v>45553.0</v>
      </c>
      <c r="I276" s="3" t="s">
        <v>59</v>
      </c>
      <c r="J276" s="3" t="s">
        <v>1620</v>
      </c>
      <c r="K276" s="3" t="s">
        <v>1620</v>
      </c>
      <c r="L276" s="3" t="s">
        <v>172</v>
      </c>
      <c r="M276" s="4" t="str">
        <f>VLOOKUP(C276,Apoio!A:B,2,0)</f>
        <v>251-500</v>
      </c>
    </row>
    <row r="277">
      <c r="A277" s="3" t="s">
        <v>1622</v>
      </c>
      <c r="B277" s="3" t="s">
        <v>752</v>
      </c>
      <c r="C277" s="3" t="s">
        <v>109</v>
      </c>
      <c r="D277" s="3" t="s">
        <v>1623</v>
      </c>
      <c r="E277" s="3" t="s">
        <v>188</v>
      </c>
      <c r="F277" s="1" t="s">
        <v>51</v>
      </c>
      <c r="G277" s="6">
        <v>49735.0</v>
      </c>
      <c r="H277" s="7">
        <v>44503.0</v>
      </c>
      <c r="I277" s="3" t="s">
        <v>393</v>
      </c>
      <c r="J277" s="3" t="s">
        <v>1625</v>
      </c>
      <c r="K277" s="3" t="s">
        <v>1620</v>
      </c>
      <c r="L277" s="3" t="s">
        <v>72</v>
      </c>
      <c r="M277" s="4" t="str">
        <f>VLOOKUP(C277,Apoio!A:B,2,0)</f>
        <v>101-250</v>
      </c>
    </row>
    <row r="278">
      <c r="A278" s="3" t="s">
        <v>1629</v>
      </c>
      <c r="B278" s="3" t="s">
        <v>320</v>
      </c>
      <c r="C278" s="3" t="s">
        <v>99</v>
      </c>
      <c r="D278" s="3" t="s">
        <v>1631</v>
      </c>
      <c r="E278" s="3" t="s">
        <v>1632</v>
      </c>
      <c r="F278" s="1" t="s">
        <v>51</v>
      </c>
      <c r="G278" s="6">
        <v>43037.0</v>
      </c>
      <c r="H278" s="7">
        <v>45506.0</v>
      </c>
      <c r="I278" s="3" t="s">
        <v>364</v>
      </c>
      <c r="J278" s="3" t="s">
        <v>1633</v>
      </c>
      <c r="K278" s="3" t="s">
        <v>1634</v>
      </c>
      <c r="L278" s="3" t="s">
        <v>72</v>
      </c>
      <c r="M278" s="4" t="str">
        <f>VLOOKUP(C278,Apoio!A:B,2,0)</f>
        <v>1k-5k</v>
      </c>
    </row>
    <row r="279">
      <c r="A279" s="3" t="s">
        <v>1609</v>
      </c>
      <c r="B279" s="3" t="s">
        <v>76</v>
      </c>
      <c r="C279" s="3" t="s">
        <v>78</v>
      </c>
      <c r="D279" s="3" t="s">
        <v>1610</v>
      </c>
      <c r="E279" s="3" t="s">
        <v>46</v>
      </c>
      <c r="F279" s="1" t="s">
        <v>51</v>
      </c>
      <c r="G279" s="6">
        <v>45850.0</v>
      </c>
      <c r="H279" s="7">
        <v>44474.0</v>
      </c>
      <c r="I279" s="3" t="s">
        <v>84</v>
      </c>
      <c r="J279" s="3" t="s">
        <v>334</v>
      </c>
      <c r="K279" s="3" t="s">
        <v>1635</v>
      </c>
      <c r="L279" s="3" t="s">
        <v>72</v>
      </c>
      <c r="M279" s="4" t="str">
        <f>VLOOKUP(C279,Apoio!A:B,2,0)</f>
        <v>51-100</v>
      </c>
    </row>
    <row r="280">
      <c r="A280" s="3" t="s">
        <v>1637</v>
      </c>
      <c r="B280" s="3" t="s">
        <v>59</v>
      </c>
      <c r="C280" s="3" t="s">
        <v>78</v>
      </c>
      <c r="D280" s="3" t="s">
        <v>1638</v>
      </c>
      <c r="E280" s="3" t="s">
        <v>46</v>
      </c>
      <c r="F280" s="1" t="s">
        <v>51</v>
      </c>
      <c r="G280" s="6">
        <v>44416.0</v>
      </c>
      <c r="H280" s="7">
        <v>45874.0</v>
      </c>
      <c r="I280" s="3" t="s">
        <v>59</v>
      </c>
      <c r="J280" s="3" t="s">
        <v>441</v>
      </c>
      <c r="K280" s="3" t="s">
        <v>441</v>
      </c>
      <c r="L280" s="3" t="s">
        <v>72</v>
      </c>
      <c r="M280" s="4" t="str">
        <f>VLOOKUP(C280,Apoio!A:B,2,0)</f>
        <v>51-100</v>
      </c>
    </row>
    <row r="281">
      <c r="A281" s="3" t="s">
        <v>1640</v>
      </c>
      <c r="B281" s="3" t="s">
        <v>76</v>
      </c>
      <c r="C281" s="3" t="s">
        <v>109</v>
      </c>
      <c r="D281" s="3" t="s">
        <v>1642</v>
      </c>
      <c r="E281" s="3" t="s">
        <v>46</v>
      </c>
      <c r="F281" s="1" t="s">
        <v>51</v>
      </c>
      <c r="G281" s="6">
        <v>43890.0</v>
      </c>
      <c r="H281" s="7">
        <v>44823.0</v>
      </c>
      <c r="I281" s="3" t="s">
        <v>84</v>
      </c>
      <c r="J281" s="3" t="s">
        <v>1643</v>
      </c>
      <c r="K281" s="3" t="s">
        <v>1643</v>
      </c>
      <c r="L281" s="3" t="s">
        <v>72</v>
      </c>
      <c r="M281" s="4" t="str">
        <f>VLOOKUP(C281,Apoio!A:B,2,0)</f>
        <v>101-250</v>
      </c>
    </row>
    <row r="282">
      <c r="A282" s="3" t="s">
        <v>1644</v>
      </c>
      <c r="B282" s="3" t="s">
        <v>289</v>
      </c>
      <c r="C282" s="3" t="s">
        <v>197</v>
      </c>
      <c r="D282" s="3" t="s">
        <v>1645</v>
      </c>
      <c r="E282" s="3" t="s">
        <v>930</v>
      </c>
      <c r="F282" s="1" t="s">
        <v>51</v>
      </c>
      <c r="G282" s="6">
        <v>46469.0</v>
      </c>
      <c r="H282" s="14">
        <v>45638.0</v>
      </c>
      <c r="I282" s="3" t="s">
        <v>84</v>
      </c>
      <c r="J282" s="3" t="s">
        <v>1646</v>
      </c>
      <c r="K282" s="3" t="s">
        <v>1647</v>
      </c>
      <c r="L282" s="3" t="s">
        <v>172</v>
      </c>
      <c r="M282" s="4" t="str">
        <f>VLOOKUP(C282,Apoio!A:B,2,0)</f>
        <v>501-1000</v>
      </c>
    </row>
    <row r="283">
      <c r="A283" s="3" t="s">
        <v>779</v>
      </c>
      <c r="B283" s="3" t="s">
        <v>59</v>
      </c>
      <c r="C283" s="3" t="s">
        <v>41</v>
      </c>
      <c r="D283" s="3" t="s">
        <v>780</v>
      </c>
      <c r="E283" s="3" t="s">
        <v>630</v>
      </c>
      <c r="F283" s="1" t="s">
        <v>51</v>
      </c>
      <c r="G283" s="6">
        <v>47732.0</v>
      </c>
      <c r="H283" s="7">
        <v>43993.0</v>
      </c>
      <c r="I283" s="3" t="s">
        <v>167</v>
      </c>
      <c r="J283" s="3" t="s">
        <v>1648</v>
      </c>
      <c r="K283" s="3" t="s">
        <v>1648</v>
      </c>
      <c r="L283" s="3" t="s">
        <v>172</v>
      </c>
      <c r="M283" s="4" t="str">
        <f>VLOOKUP(C283,Apoio!A:B,2,0)</f>
        <v>251-500</v>
      </c>
    </row>
    <row r="284">
      <c r="A284" s="3" t="s">
        <v>1650</v>
      </c>
      <c r="B284" s="3" t="s">
        <v>320</v>
      </c>
      <c r="C284" s="3" t="s">
        <v>109</v>
      </c>
      <c r="D284" s="3" t="s">
        <v>1651</v>
      </c>
      <c r="E284" s="3" t="s">
        <v>1652</v>
      </c>
      <c r="F284" s="1" t="s">
        <v>51</v>
      </c>
      <c r="G284" s="6">
        <v>48074.0</v>
      </c>
      <c r="H284" s="7">
        <v>45854.0</v>
      </c>
      <c r="I284" s="3" t="s">
        <v>364</v>
      </c>
      <c r="J284" s="3" t="s">
        <v>1653</v>
      </c>
      <c r="K284" s="3" t="s">
        <v>1653</v>
      </c>
      <c r="L284" s="3" t="s">
        <v>72</v>
      </c>
      <c r="M284" s="4" t="str">
        <f>VLOOKUP(C284,Apoio!A:B,2,0)</f>
        <v>101-250</v>
      </c>
    </row>
    <row r="285">
      <c r="A285" s="3" t="s">
        <v>1655</v>
      </c>
      <c r="B285" s="3" t="s">
        <v>59</v>
      </c>
      <c r="C285" s="3" t="s">
        <v>78</v>
      </c>
      <c r="D285" s="3" t="s">
        <v>1656</v>
      </c>
      <c r="E285" s="3" t="s">
        <v>261</v>
      </c>
      <c r="F285" s="1" t="s">
        <v>51</v>
      </c>
      <c r="G285" s="6">
        <v>47916.0</v>
      </c>
      <c r="H285" s="7">
        <v>45810.0</v>
      </c>
      <c r="I285" s="3" t="s">
        <v>59</v>
      </c>
      <c r="J285" s="3" t="s">
        <v>339</v>
      </c>
      <c r="K285" s="3" t="s">
        <v>228</v>
      </c>
      <c r="L285" s="3" t="s">
        <v>172</v>
      </c>
      <c r="M285" s="4" t="str">
        <f>VLOOKUP(C285,Apoio!A:B,2,0)</f>
        <v>51-100</v>
      </c>
    </row>
    <row r="286">
      <c r="A286" s="3" t="s">
        <v>1658</v>
      </c>
      <c r="B286" s="3" t="s">
        <v>38</v>
      </c>
      <c r="C286" s="3" t="s">
        <v>78</v>
      </c>
      <c r="D286" s="3" t="s">
        <v>1659</v>
      </c>
      <c r="E286" s="3" t="s">
        <v>46</v>
      </c>
      <c r="F286" s="1" t="s">
        <v>51</v>
      </c>
      <c r="G286" s="6">
        <v>43143.0</v>
      </c>
      <c r="H286" s="7">
        <v>45023.0</v>
      </c>
      <c r="I286" s="3" t="s">
        <v>68</v>
      </c>
      <c r="J286" s="3" t="s">
        <v>1660</v>
      </c>
      <c r="K286" s="3" t="s">
        <v>225</v>
      </c>
      <c r="L286" s="3" t="s">
        <v>72</v>
      </c>
      <c r="M286" s="4" t="str">
        <f>VLOOKUP(C286,Apoio!A:B,2,0)</f>
        <v>51-100</v>
      </c>
    </row>
    <row r="287">
      <c r="A287" s="3" t="s">
        <v>843</v>
      </c>
      <c r="B287" s="3" t="s">
        <v>59</v>
      </c>
      <c r="C287" s="3" t="s">
        <v>61</v>
      </c>
      <c r="D287" s="3" t="s">
        <v>844</v>
      </c>
      <c r="E287" s="3" t="s">
        <v>46</v>
      </c>
      <c r="F287" s="1" t="s">
        <v>51</v>
      </c>
      <c r="G287" s="6">
        <v>41986.0</v>
      </c>
      <c r="H287" s="7">
        <v>45558.0</v>
      </c>
      <c r="I287" s="3" t="s">
        <v>59</v>
      </c>
      <c r="J287" s="3" t="s">
        <v>1663</v>
      </c>
      <c r="K287" s="3" t="s">
        <v>1664</v>
      </c>
      <c r="L287" s="3" t="s">
        <v>172</v>
      </c>
      <c r="M287" s="4" t="str">
        <f>VLOOKUP(C287,Apoio!A:B,2,0)</f>
        <v>11-50</v>
      </c>
    </row>
    <row r="288">
      <c r="A288" s="3" t="s">
        <v>1665</v>
      </c>
      <c r="B288" s="3" t="s">
        <v>38</v>
      </c>
      <c r="C288" s="3" t="s">
        <v>61</v>
      </c>
      <c r="D288" s="3" t="s">
        <v>1666</v>
      </c>
      <c r="E288" s="3" t="s">
        <v>46</v>
      </c>
      <c r="F288" s="1" t="s">
        <v>51</v>
      </c>
      <c r="G288" s="6">
        <v>48195.0</v>
      </c>
      <c r="H288" s="7">
        <v>45939.0</v>
      </c>
      <c r="I288" s="3" t="s">
        <v>68</v>
      </c>
      <c r="J288" s="3" t="s">
        <v>1667</v>
      </c>
      <c r="K288" s="3" t="s">
        <v>274</v>
      </c>
      <c r="L288" s="3" t="s">
        <v>172</v>
      </c>
      <c r="M288" s="4" t="str">
        <f>VLOOKUP(C288,Apoio!A:B,2,0)</f>
        <v>11-50</v>
      </c>
    </row>
    <row r="289">
      <c r="A289" s="3" t="s">
        <v>1672</v>
      </c>
      <c r="B289" s="3" t="s">
        <v>38</v>
      </c>
      <c r="C289" s="3" t="s">
        <v>61</v>
      </c>
      <c r="D289" s="3" t="s">
        <v>368</v>
      </c>
      <c r="E289" s="3" t="s">
        <v>1673</v>
      </c>
      <c r="F289" s="1" t="s">
        <v>51</v>
      </c>
      <c r="G289" s="6">
        <v>48317.0</v>
      </c>
      <c r="H289" s="7">
        <v>45474.0</v>
      </c>
      <c r="I289" s="3" t="s">
        <v>167</v>
      </c>
      <c r="J289" s="3" t="s">
        <v>1674</v>
      </c>
      <c r="K289" s="3" t="s">
        <v>1675</v>
      </c>
      <c r="L289" s="3" t="s">
        <v>172</v>
      </c>
      <c r="M289" s="4" t="str">
        <f>VLOOKUP(C289,Apoio!A:B,2,0)</f>
        <v>11-50</v>
      </c>
    </row>
    <row r="290">
      <c r="A290" s="3" t="s">
        <v>974</v>
      </c>
      <c r="B290" s="3" t="s">
        <v>59</v>
      </c>
      <c r="C290" s="3" t="s">
        <v>109</v>
      </c>
      <c r="D290" s="3" t="s">
        <v>975</v>
      </c>
      <c r="E290" s="3" t="s">
        <v>1677</v>
      </c>
      <c r="F290" s="1" t="s">
        <v>51</v>
      </c>
      <c r="G290" s="6">
        <v>46784.0</v>
      </c>
      <c r="H290" s="14">
        <v>44560.0</v>
      </c>
      <c r="I290" s="3" t="s">
        <v>59</v>
      </c>
      <c r="J290" s="3" t="s">
        <v>1678</v>
      </c>
      <c r="K290" s="3" t="s">
        <v>1679</v>
      </c>
      <c r="L290" s="3" t="s">
        <v>72</v>
      </c>
      <c r="M290" s="4" t="str">
        <f>VLOOKUP(C290,Apoio!A:B,2,0)</f>
        <v>101-250</v>
      </c>
    </row>
    <row r="291">
      <c r="A291" s="3" t="s">
        <v>1682</v>
      </c>
      <c r="B291" s="3" t="s">
        <v>685</v>
      </c>
      <c r="C291" s="3" t="s">
        <v>321</v>
      </c>
      <c r="D291" s="3" t="s">
        <v>1683</v>
      </c>
      <c r="E291" s="3" t="s">
        <v>46</v>
      </c>
      <c r="F291" s="1" t="s">
        <v>51</v>
      </c>
      <c r="G291" s="10">
        <v>7.486</v>
      </c>
      <c r="H291" s="14">
        <v>45986.0</v>
      </c>
      <c r="I291" s="3" t="s">
        <v>364</v>
      </c>
      <c r="J291" s="3" t="s">
        <v>1684</v>
      </c>
      <c r="K291" s="3" t="s">
        <v>1685</v>
      </c>
      <c r="L291" s="3" t="s">
        <v>672</v>
      </c>
      <c r="M291" s="4" t="str">
        <f>VLOOKUP(C291,Apoio!A:B,2,0)</f>
        <v>10k+</v>
      </c>
    </row>
    <row r="292">
      <c r="A292" s="3" t="s">
        <v>1095</v>
      </c>
      <c r="B292" s="3" t="s">
        <v>59</v>
      </c>
      <c r="C292" s="3" t="s">
        <v>61</v>
      </c>
      <c r="D292" s="3" t="s">
        <v>1097</v>
      </c>
      <c r="E292" s="3" t="s">
        <v>46</v>
      </c>
      <c r="F292" s="1" t="s">
        <v>51</v>
      </c>
      <c r="G292" s="10">
        <v>31.869</v>
      </c>
      <c r="H292" s="7">
        <v>45769.0</v>
      </c>
      <c r="I292" s="3" t="s">
        <v>59</v>
      </c>
      <c r="J292" s="3" t="s">
        <v>1688</v>
      </c>
      <c r="K292" s="3" t="s">
        <v>1688</v>
      </c>
      <c r="L292" s="3" t="s">
        <v>672</v>
      </c>
      <c r="M292" s="4" t="str">
        <f>VLOOKUP(C292,Apoio!A:B,2,0)</f>
        <v>11-50</v>
      </c>
    </row>
    <row r="293">
      <c r="A293" s="3" t="s">
        <v>1691</v>
      </c>
      <c r="B293" s="3" t="s">
        <v>76</v>
      </c>
      <c r="C293" s="3" t="s">
        <v>61</v>
      </c>
      <c r="D293" s="3" t="s">
        <v>1692</v>
      </c>
      <c r="E293" s="3" t="s">
        <v>46</v>
      </c>
      <c r="F293" s="1" t="s">
        <v>51</v>
      </c>
      <c r="G293" s="10">
        <v>3.032</v>
      </c>
      <c r="H293" s="7">
        <v>46075.0</v>
      </c>
      <c r="I293" s="3" t="s">
        <v>670</v>
      </c>
      <c r="J293" s="3" t="s">
        <v>1693</v>
      </c>
      <c r="K293" s="3" t="s">
        <v>1694</v>
      </c>
      <c r="L293" s="3" t="s">
        <v>172</v>
      </c>
      <c r="M293" s="4" t="str">
        <f>VLOOKUP(C293,Apoio!A:B,2,0)</f>
        <v>11-50</v>
      </c>
    </row>
    <row r="294">
      <c r="A294" s="3" t="s">
        <v>1697</v>
      </c>
      <c r="B294" s="3" t="s">
        <v>38</v>
      </c>
      <c r="C294" s="3" t="s">
        <v>41</v>
      </c>
      <c r="D294" s="3" t="s">
        <v>1698</v>
      </c>
      <c r="E294" s="3" t="s">
        <v>46</v>
      </c>
      <c r="F294" s="1" t="s">
        <v>51</v>
      </c>
      <c r="G294" s="10">
        <v>7.281</v>
      </c>
      <c r="H294" s="7">
        <v>45434.0</v>
      </c>
      <c r="I294" s="3" t="s">
        <v>68</v>
      </c>
      <c r="J294" s="3" t="s">
        <v>1700</v>
      </c>
      <c r="K294" s="3" t="s">
        <v>1694</v>
      </c>
      <c r="L294" s="3" t="s">
        <v>172</v>
      </c>
      <c r="M294" s="4" t="str">
        <f>VLOOKUP(C294,Apoio!A:B,2,0)</f>
        <v>251-500</v>
      </c>
    </row>
    <row r="295">
      <c r="A295" s="3" t="s">
        <v>1701</v>
      </c>
      <c r="B295" s="3" t="s">
        <v>76</v>
      </c>
      <c r="C295" s="3" t="s">
        <v>61</v>
      </c>
      <c r="D295" s="3" t="s">
        <v>1702</v>
      </c>
      <c r="E295" s="3" t="s">
        <v>46</v>
      </c>
      <c r="F295" s="1" t="s">
        <v>51</v>
      </c>
      <c r="G295" s="10">
        <v>15.309</v>
      </c>
      <c r="H295" s="7">
        <v>45868.0</v>
      </c>
      <c r="I295" s="3" t="s">
        <v>670</v>
      </c>
      <c r="J295" s="3" t="s">
        <v>1703</v>
      </c>
      <c r="K295" s="3" t="s">
        <v>1694</v>
      </c>
      <c r="L295" s="3" t="s">
        <v>72</v>
      </c>
      <c r="M295" s="4" t="str">
        <f>VLOOKUP(C295,Apoio!A:B,2,0)</f>
        <v>11-50</v>
      </c>
    </row>
    <row r="296">
      <c r="A296" s="3" t="s">
        <v>1705</v>
      </c>
      <c r="B296" s="3" t="s">
        <v>59</v>
      </c>
      <c r="C296" s="3" t="s">
        <v>61</v>
      </c>
      <c r="D296" s="3" t="s">
        <v>1706</v>
      </c>
      <c r="E296" s="3" t="s">
        <v>46</v>
      </c>
      <c r="F296" s="1" t="s">
        <v>51</v>
      </c>
      <c r="G296" s="10">
        <v>28.573</v>
      </c>
      <c r="H296" s="14">
        <v>46009.0</v>
      </c>
      <c r="I296" s="3" t="s">
        <v>59</v>
      </c>
      <c r="J296" s="3" t="s">
        <v>1694</v>
      </c>
      <c r="K296" s="3" t="s">
        <v>1694</v>
      </c>
      <c r="L296" s="3" t="s">
        <v>172</v>
      </c>
      <c r="M296" s="4" t="str">
        <f>VLOOKUP(C296,Apoio!A:B,2,0)</f>
        <v>11-50</v>
      </c>
    </row>
    <row r="297">
      <c r="A297" s="3" t="s">
        <v>1708</v>
      </c>
      <c r="B297" s="3" t="s">
        <v>38</v>
      </c>
      <c r="C297" s="3" t="s">
        <v>61</v>
      </c>
      <c r="D297" s="3" t="s">
        <v>735</v>
      </c>
      <c r="E297" s="3" t="s">
        <v>188</v>
      </c>
      <c r="F297" s="1" t="s">
        <v>51</v>
      </c>
      <c r="G297" s="10">
        <v>29.527</v>
      </c>
      <c r="H297" s="7">
        <v>45547.0</v>
      </c>
      <c r="I297" s="3" t="s">
        <v>68</v>
      </c>
      <c r="J297" s="3" t="s">
        <v>1709</v>
      </c>
      <c r="K297" s="3" t="s">
        <v>1694</v>
      </c>
      <c r="L297" s="3" t="s">
        <v>172</v>
      </c>
      <c r="M297" s="4" t="str">
        <f>VLOOKUP(C297,Apoio!A:B,2,0)</f>
        <v>11-50</v>
      </c>
    </row>
    <row r="298">
      <c r="A298" s="3" t="s">
        <v>1710</v>
      </c>
      <c r="B298" s="3" t="s">
        <v>289</v>
      </c>
      <c r="C298" s="3" t="s">
        <v>78</v>
      </c>
      <c r="D298" s="3" t="s">
        <v>1712</v>
      </c>
      <c r="E298" s="3" t="s">
        <v>46</v>
      </c>
      <c r="F298" s="1" t="s">
        <v>51</v>
      </c>
      <c r="G298" s="10">
        <v>33.433</v>
      </c>
      <c r="H298" s="14">
        <v>45953.0</v>
      </c>
      <c r="I298" s="3" t="s">
        <v>670</v>
      </c>
      <c r="J298" s="3" t="s">
        <v>1713</v>
      </c>
      <c r="K298" s="3" t="s">
        <v>1715</v>
      </c>
      <c r="L298" s="3" t="s">
        <v>672</v>
      </c>
      <c r="M298" s="4" t="str">
        <f>VLOOKUP(C298,Apoio!A:B,2,0)</f>
        <v>51-100</v>
      </c>
    </row>
    <row r="299">
      <c r="A299" s="3" t="s">
        <v>1716</v>
      </c>
      <c r="B299" s="3" t="s">
        <v>76</v>
      </c>
      <c r="C299" s="3" t="s">
        <v>61</v>
      </c>
      <c r="D299" s="3" t="s">
        <v>1227</v>
      </c>
      <c r="E299" s="3" t="s">
        <v>46</v>
      </c>
      <c r="F299" s="1" t="s">
        <v>51</v>
      </c>
      <c r="G299" s="10">
        <v>16.01</v>
      </c>
      <c r="H299" s="7">
        <v>45917.0</v>
      </c>
      <c r="I299" s="3" t="s">
        <v>670</v>
      </c>
      <c r="J299" s="3" t="s">
        <v>1717</v>
      </c>
      <c r="K299" s="3" t="s">
        <v>1718</v>
      </c>
      <c r="L299" s="3" t="s">
        <v>672</v>
      </c>
      <c r="M299" s="4" t="str">
        <f>VLOOKUP(C299,Apoio!A:B,2,0)</f>
        <v>11-50</v>
      </c>
    </row>
    <row r="300">
      <c r="A300" s="3" t="s">
        <v>1720</v>
      </c>
      <c r="B300" s="3" t="s">
        <v>76</v>
      </c>
      <c r="C300" s="3" t="s">
        <v>109</v>
      </c>
      <c r="D300" s="3" t="s">
        <v>1721</v>
      </c>
      <c r="E300" s="3" t="s">
        <v>46</v>
      </c>
      <c r="F300" s="1" t="s">
        <v>51</v>
      </c>
      <c r="G300" s="10">
        <v>37.157</v>
      </c>
      <c r="H300" s="7">
        <v>45629.0</v>
      </c>
      <c r="I300" s="3" t="s">
        <v>670</v>
      </c>
      <c r="J300" s="3" t="s">
        <v>1722</v>
      </c>
      <c r="K300" s="3" t="s">
        <v>1723</v>
      </c>
      <c r="L300" s="3" t="s">
        <v>172</v>
      </c>
      <c r="M300" s="4" t="str">
        <f>VLOOKUP(C300,Apoio!A:B,2,0)</f>
        <v>101-250</v>
      </c>
    </row>
    <row r="301">
      <c r="A301" s="3" t="s">
        <v>1724</v>
      </c>
      <c r="B301" s="3" t="s">
        <v>76</v>
      </c>
      <c r="C301" s="3" t="s">
        <v>61</v>
      </c>
      <c r="D301" s="3" t="s">
        <v>1725</v>
      </c>
      <c r="E301" s="3" t="s">
        <v>46</v>
      </c>
      <c r="F301" s="1" t="s">
        <v>51</v>
      </c>
      <c r="G301" s="10">
        <v>22.004</v>
      </c>
      <c r="H301" s="14">
        <v>45952.0</v>
      </c>
      <c r="I301" s="3" t="s">
        <v>670</v>
      </c>
      <c r="J301" s="3" t="s">
        <v>1726</v>
      </c>
      <c r="K301" s="3" t="s">
        <v>1726</v>
      </c>
      <c r="L301" s="3" t="s">
        <v>672</v>
      </c>
      <c r="M301" s="4" t="str">
        <f>VLOOKUP(C301,Apoio!A:B,2,0)</f>
        <v>11-50</v>
      </c>
    </row>
    <row r="302">
      <c r="A302" s="3" t="s">
        <v>1728</v>
      </c>
      <c r="B302" s="3" t="s">
        <v>289</v>
      </c>
      <c r="C302" s="3" t="s">
        <v>109</v>
      </c>
      <c r="D302" s="3" t="s">
        <v>1729</v>
      </c>
      <c r="E302" s="3" t="s">
        <v>46</v>
      </c>
      <c r="F302" s="1" t="s">
        <v>51</v>
      </c>
      <c r="G302" s="10">
        <v>36.184</v>
      </c>
      <c r="H302" s="7">
        <v>45490.0</v>
      </c>
      <c r="I302" s="3" t="s">
        <v>670</v>
      </c>
      <c r="J302" s="3" t="s">
        <v>1730</v>
      </c>
      <c r="K302" s="3" t="s">
        <v>1730</v>
      </c>
      <c r="L302" s="3" t="s">
        <v>172</v>
      </c>
      <c r="M302" s="4" t="str">
        <f>VLOOKUP(C302,Apoio!A:B,2,0)</f>
        <v>101-250</v>
      </c>
    </row>
    <row r="303">
      <c r="A303" s="3" t="s">
        <v>1236</v>
      </c>
      <c r="B303" s="3" t="s">
        <v>59</v>
      </c>
      <c r="C303" s="3" t="s">
        <v>109</v>
      </c>
      <c r="D303" s="3" t="s">
        <v>1237</v>
      </c>
      <c r="E303" s="3" t="s">
        <v>261</v>
      </c>
      <c r="F303" s="1" t="s">
        <v>51</v>
      </c>
      <c r="G303" s="10">
        <v>101.602</v>
      </c>
      <c r="H303" s="7">
        <v>44456.0</v>
      </c>
      <c r="I303" s="3" t="s">
        <v>59</v>
      </c>
      <c r="J303" s="3" t="s">
        <v>1731</v>
      </c>
      <c r="K303" s="3" t="s">
        <v>1732</v>
      </c>
      <c r="L303" s="3" t="s">
        <v>72</v>
      </c>
      <c r="M303" s="4" t="str">
        <f>VLOOKUP(C303,Apoio!A:B,2,0)</f>
        <v>101-250</v>
      </c>
    </row>
    <row r="304">
      <c r="A304" s="3" t="s">
        <v>1251</v>
      </c>
      <c r="B304" s="3" t="s">
        <v>59</v>
      </c>
      <c r="C304" s="3" t="s">
        <v>61</v>
      </c>
      <c r="D304" s="3" t="s">
        <v>1253</v>
      </c>
      <c r="E304" s="3" t="s">
        <v>171</v>
      </c>
      <c r="F304" s="8" t="s">
        <v>52</v>
      </c>
      <c r="G304" s="10">
        <v>64.295</v>
      </c>
      <c r="H304" s="7">
        <v>45604.0</v>
      </c>
      <c r="I304" s="3" t="s">
        <v>59</v>
      </c>
      <c r="J304" s="3" t="s">
        <v>1734</v>
      </c>
      <c r="K304" s="3" t="s">
        <v>1732</v>
      </c>
      <c r="L304" s="3" t="s">
        <v>172</v>
      </c>
      <c r="M304" s="4" t="str">
        <f>VLOOKUP(C304,Apoio!A:B,2,0)</f>
        <v>11-50</v>
      </c>
    </row>
    <row r="305">
      <c r="A305" s="3" t="s">
        <v>1735</v>
      </c>
      <c r="B305" s="3" t="s">
        <v>76</v>
      </c>
      <c r="C305" s="3" t="s">
        <v>78</v>
      </c>
      <c r="D305" s="3" t="s">
        <v>137</v>
      </c>
      <c r="E305" s="3" t="s">
        <v>46</v>
      </c>
      <c r="F305" s="1" t="s">
        <v>51</v>
      </c>
      <c r="G305" s="10">
        <v>24.166</v>
      </c>
      <c r="H305" s="7">
        <v>44328.0</v>
      </c>
      <c r="I305" s="3" t="s">
        <v>670</v>
      </c>
      <c r="J305" s="3" t="s">
        <v>1736</v>
      </c>
      <c r="K305" s="3" t="s">
        <v>1736</v>
      </c>
      <c r="L305" s="3" t="s">
        <v>72</v>
      </c>
      <c r="M305" s="4" t="str">
        <f>VLOOKUP(C305,Apoio!A:B,2,0)</f>
        <v>51-100</v>
      </c>
    </row>
    <row r="306">
      <c r="A306" s="3" t="s">
        <v>1277</v>
      </c>
      <c r="B306" s="3" t="s">
        <v>38</v>
      </c>
      <c r="C306" s="3" t="s">
        <v>197</v>
      </c>
      <c r="D306" s="3" t="s">
        <v>1278</v>
      </c>
      <c r="E306" s="3" t="s">
        <v>1072</v>
      </c>
      <c r="F306" s="1" t="s">
        <v>51</v>
      </c>
      <c r="G306" s="10">
        <v>17.953</v>
      </c>
      <c r="H306" s="14">
        <v>45576.0</v>
      </c>
      <c r="I306" s="3" t="s">
        <v>68</v>
      </c>
      <c r="J306" s="3" t="s">
        <v>1737</v>
      </c>
      <c r="K306" s="3" t="s">
        <v>1739</v>
      </c>
      <c r="L306" s="3" t="s">
        <v>172</v>
      </c>
      <c r="M306" s="4" t="str">
        <f>VLOOKUP(C306,Apoio!A:B,2,0)</f>
        <v>501-1000</v>
      </c>
    </row>
    <row r="307">
      <c r="A307" s="3" t="s">
        <v>1741</v>
      </c>
      <c r="B307" s="3" t="s">
        <v>752</v>
      </c>
      <c r="C307" s="3" t="s">
        <v>41</v>
      </c>
      <c r="D307" s="3" t="s">
        <v>1742</v>
      </c>
      <c r="E307" s="3" t="s">
        <v>46</v>
      </c>
      <c r="F307" s="1" t="s">
        <v>51</v>
      </c>
      <c r="G307" s="10">
        <v>32.323</v>
      </c>
      <c r="H307" s="7">
        <v>44329.0</v>
      </c>
      <c r="I307" s="3" t="s">
        <v>736</v>
      </c>
      <c r="J307" s="3" t="s">
        <v>1743</v>
      </c>
      <c r="K307" s="3" t="s">
        <v>1744</v>
      </c>
      <c r="L307" s="3" t="s">
        <v>72</v>
      </c>
      <c r="M307" s="4" t="str">
        <f>VLOOKUP(C307,Apoio!A:B,2,0)</f>
        <v>251-500</v>
      </c>
    </row>
    <row r="308">
      <c r="A308" s="3" t="s">
        <v>1746</v>
      </c>
      <c r="B308" s="3" t="s">
        <v>76</v>
      </c>
      <c r="C308" s="3" t="s">
        <v>109</v>
      </c>
      <c r="D308" s="3" t="s">
        <v>1747</v>
      </c>
      <c r="E308" s="3" t="s">
        <v>46</v>
      </c>
      <c r="F308" s="1" t="s">
        <v>51</v>
      </c>
      <c r="G308" s="10">
        <v>17.405</v>
      </c>
      <c r="H308" s="7">
        <v>45939.0</v>
      </c>
      <c r="I308" s="3" t="s">
        <v>670</v>
      </c>
      <c r="J308" s="3" t="s">
        <v>1748</v>
      </c>
      <c r="K308" s="3" t="s">
        <v>1749</v>
      </c>
      <c r="L308" s="3" t="s">
        <v>672</v>
      </c>
      <c r="M308" s="4" t="str">
        <f>VLOOKUP(C308,Apoio!A:B,2,0)</f>
        <v>101-250</v>
      </c>
    </row>
    <row r="309">
      <c r="A309" s="3" t="s">
        <v>1751</v>
      </c>
      <c r="B309" s="3" t="s">
        <v>289</v>
      </c>
      <c r="C309" s="3" t="s">
        <v>41</v>
      </c>
      <c r="D309" s="3" t="s">
        <v>1752</v>
      </c>
      <c r="E309" s="3" t="s">
        <v>261</v>
      </c>
      <c r="F309" s="1" t="s">
        <v>51</v>
      </c>
      <c r="G309" s="10">
        <v>23.933</v>
      </c>
      <c r="H309" s="14">
        <v>45252.0</v>
      </c>
      <c r="I309" s="3" t="s">
        <v>670</v>
      </c>
      <c r="J309" s="3" t="s">
        <v>1753</v>
      </c>
      <c r="K309" s="3" t="s">
        <v>1755</v>
      </c>
      <c r="L309" s="3" t="s">
        <v>172</v>
      </c>
      <c r="M309" s="4" t="str">
        <f>VLOOKUP(C309,Apoio!A:B,2,0)</f>
        <v>251-500</v>
      </c>
    </row>
    <row r="310">
      <c r="A310" s="3" t="s">
        <v>1363</v>
      </c>
      <c r="B310" s="3" t="s">
        <v>59</v>
      </c>
      <c r="C310" s="3" t="s">
        <v>61</v>
      </c>
      <c r="D310" s="3" t="s">
        <v>1364</v>
      </c>
      <c r="E310" s="3" t="s">
        <v>46</v>
      </c>
      <c r="F310" s="1" t="s">
        <v>51</v>
      </c>
      <c r="G310" s="10">
        <v>35.544</v>
      </c>
      <c r="H310" s="7">
        <v>45631.0</v>
      </c>
      <c r="I310" s="3" t="s">
        <v>59</v>
      </c>
      <c r="J310" s="3" t="s">
        <v>1756</v>
      </c>
      <c r="K310" s="3" t="s">
        <v>1757</v>
      </c>
      <c r="L310" s="3" t="s">
        <v>672</v>
      </c>
      <c r="M310" s="4" t="str">
        <f>VLOOKUP(C310,Apoio!A:B,2,0)</f>
        <v>11-50</v>
      </c>
    </row>
    <row r="311">
      <c r="A311" s="3" t="s">
        <v>661</v>
      </c>
      <c r="B311" s="3" t="s">
        <v>38</v>
      </c>
      <c r="C311" s="3" t="s">
        <v>78</v>
      </c>
      <c r="D311" s="3" t="s">
        <v>663</v>
      </c>
      <c r="E311" s="3" t="s">
        <v>351</v>
      </c>
      <c r="F311" s="1" t="s">
        <v>51</v>
      </c>
      <c r="G311" s="10">
        <v>21.725</v>
      </c>
      <c r="H311" s="7">
        <v>46077.0</v>
      </c>
      <c r="I311" s="3" t="s">
        <v>68</v>
      </c>
      <c r="J311" s="3" t="s">
        <v>1758</v>
      </c>
      <c r="K311" s="3" t="s">
        <v>1759</v>
      </c>
      <c r="L311" s="3" t="s">
        <v>172</v>
      </c>
      <c r="M311" s="4" t="str">
        <f>VLOOKUP(C311,Apoio!A:B,2,0)</f>
        <v>51-100</v>
      </c>
    </row>
    <row r="312">
      <c r="A312" s="3" t="s">
        <v>1427</v>
      </c>
      <c r="B312" s="3" t="s">
        <v>76</v>
      </c>
      <c r="C312" s="3" t="s">
        <v>61</v>
      </c>
      <c r="D312" s="3" t="s">
        <v>1429</v>
      </c>
      <c r="E312" s="3" t="s">
        <v>1760</v>
      </c>
      <c r="F312" s="1" t="s">
        <v>51</v>
      </c>
      <c r="G312" s="10">
        <v>15.239</v>
      </c>
      <c r="H312" s="7">
        <v>45931.0</v>
      </c>
      <c r="I312" s="3" t="s">
        <v>670</v>
      </c>
      <c r="J312" s="3" t="s">
        <v>1761</v>
      </c>
      <c r="K312" s="3" t="s">
        <v>1762</v>
      </c>
      <c r="L312" s="3" t="s">
        <v>172</v>
      </c>
      <c r="M312" s="4" t="str">
        <f>VLOOKUP(C312,Apoio!A:B,2,0)</f>
        <v>11-50</v>
      </c>
    </row>
    <row r="313">
      <c r="A313" s="3" t="s">
        <v>1763</v>
      </c>
      <c r="B313" s="3" t="s">
        <v>752</v>
      </c>
      <c r="C313" s="3" t="s">
        <v>109</v>
      </c>
      <c r="D313" s="3" t="s">
        <v>1765</v>
      </c>
      <c r="E313" s="3" t="s">
        <v>46</v>
      </c>
      <c r="F313" s="1" t="s">
        <v>51</v>
      </c>
      <c r="G313" s="10">
        <v>37.399</v>
      </c>
      <c r="H313" s="7">
        <v>45916.0</v>
      </c>
      <c r="I313" s="3" t="s">
        <v>736</v>
      </c>
      <c r="J313" s="3" t="s">
        <v>1766</v>
      </c>
      <c r="K313" s="3" t="s">
        <v>1767</v>
      </c>
      <c r="L313" s="3" t="s">
        <v>172</v>
      </c>
      <c r="M313" s="4" t="str">
        <f>VLOOKUP(C313,Apoio!A:B,2,0)</f>
        <v>101-250</v>
      </c>
    </row>
    <row r="314">
      <c r="A314" s="3" t="s">
        <v>1770</v>
      </c>
      <c r="B314" s="3" t="s">
        <v>59</v>
      </c>
      <c r="C314" s="3" t="s">
        <v>78</v>
      </c>
      <c r="D314" s="3" t="s">
        <v>1771</v>
      </c>
      <c r="E314" s="3" t="s">
        <v>46</v>
      </c>
      <c r="F314" s="1" t="s">
        <v>51</v>
      </c>
      <c r="G314" s="10">
        <v>100.523</v>
      </c>
      <c r="H314" s="7">
        <v>44835.0</v>
      </c>
      <c r="I314" s="3" t="s">
        <v>59</v>
      </c>
      <c r="J314" s="3" t="s">
        <v>1772</v>
      </c>
      <c r="K314" s="3" t="s">
        <v>1773</v>
      </c>
      <c r="L314" s="3" t="s">
        <v>72</v>
      </c>
      <c r="M314" s="4" t="str">
        <f>VLOOKUP(C314,Apoio!A:B,2,0)</f>
        <v>51-100</v>
      </c>
    </row>
    <row r="315">
      <c r="A315" s="3" t="s">
        <v>1777</v>
      </c>
      <c r="B315" s="3" t="s">
        <v>59</v>
      </c>
      <c r="C315" s="3" t="s">
        <v>61</v>
      </c>
      <c r="D315" s="3" t="s">
        <v>1778</v>
      </c>
      <c r="E315" s="3" t="s">
        <v>188</v>
      </c>
      <c r="F315" s="1" t="s">
        <v>51</v>
      </c>
      <c r="G315" s="10">
        <v>2.3</v>
      </c>
      <c r="H315" s="7">
        <v>46083.0</v>
      </c>
      <c r="I315" s="3" t="s">
        <v>59</v>
      </c>
      <c r="J315" s="3" t="s">
        <v>1779</v>
      </c>
      <c r="K315" s="3" t="s">
        <v>1780</v>
      </c>
      <c r="L315" s="3" t="s">
        <v>172</v>
      </c>
      <c r="M315" s="4" t="str">
        <f>VLOOKUP(C315,Apoio!A:B,2,0)</f>
        <v>11-50</v>
      </c>
    </row>
    <row r="316">
      <c r="A316" s="3" t="s">
        <v>1482</v>
      </c>
      <c r="B316" s="3" t="s">
        <v>38</v>
      </c>
      <c r="C316" s="3" t="s">
        <v>197</v>
      </c>
      <c r="D316" s="3" t="s">
        <v>1484</v>
      </c>
      <c r="E316" s="3" t="s">
        <v>46</v>
      </c>
      <c r="F316" s="1" t="s">
        <v>51</v>
      </c>
      <c r="G316" s="10">
        <v>22.95</v>
      </c>
      <c r="H316" s="7">
        <v>45315.0</v>
      </c>
      <c r="I316" s="3" t="s">
        <v>68</v>
      </c>
      <c r="J316" s="3" t="s">
        <v>1781</v>
      </c>
      <c r="K316" s="3" t="s">
        <v>1780</v>
      </c>
      <c r="L316" s="3" t="s">
        <v>172</v>
      </c>
      <c r="M316" s="4" t="str">
        <f>VLOOKUP(C316,Apoio!A:B,2,0)</f>
        <v>501-1000</v>
      </c>
    </row>
    <row r="317">
      <c r="A317" s="3" t="s">
        <v>1784</v>
      </c>
      <c r="B317" s="3" t="s">
        <v>76</v>
      </c>
      <c r="C317" s="3" t="s">
        <v>346</v>
      </c>
      <c r="D317" s="3" t="s">
        <v>1785</v>
      </c>
      <c r="E317" s="3" t="s">
        <v>46</v>
      </c>
      <c r="F317" s="1" t="s">
        <v>51</v>
      </c>
      <c r="G317" s="10">
        <v>11.426</v>
      </c>
      <c r="H317" s="7">
        <v>44389.0</v>
      </c>
      <c r="I317" s="3" t="s">
        <v>167</v>
      </c>
      <c r="J317" s="3" t="s">
        <v>1786</v>
      </c>
      <c r="K317" s="3" t="s">
        <v>1786</v>
      </c>
      <c r="L317" s="3" t="s">
        <v>72</v>
      </c>
      <c r="M317" s="4" t="str">
        <f>VLOOKUP(C317,Apoio!A:B,2,0)</f>
        <v>1k-5k</v>
      </c>
    </row>
    <row r="318">
      <c r="A318" s="3" t="s">
        <v>1788</v>
      </c>
      <c r="B318" s="3" t="s">
        <v>59</v>
      </c>
      <c r="C318" s="3" t="s">
        <v>61</v>
      </c>
      <c r="D318" s="3" t="s">
        <v>1789</v>
      </c>
      <c r="E318" s="3" t="s">
        <v>1790</v>
      </c>
      <c r="F318" s="1" t="s">
        <v>51</v>
      </c>
      <c r="G318" s="10">
        <v>4.27</v>
      </c>
      <c r="H318" s="7">
        <v>44631.0</v>
      </c>
      <c r="I318" s="3" t="s">
        <v>59</v>
      </c>
      <c r="J318" s="3" t="s">
        <v>1791</v>
      </c>
      <c r="K318" s="3" t="s">
        <v>1791</v>
      </c>
      <c r="L318" s="3" t="s">
        <v>68</v>
      </c>
      <c r="M318" s="4" t="str">
        <f>VLOOKUP(C318,Apoio!A:B,2,0)</f>
        <v>11-50</v>
      </c>
    </row>
    <row r="319">
      <c r="A319" s="3" t="s">
        <v>1523</v>
      </c>
      <c r="B319" s="3" t="s">
        <v>59</v>
      </c>
      <c r="C319" s="3" t="s">
        <v>109</v>
      </c>
      <c r="D319" s="3" t="s">
        <v>1524</v>
      </c>
      <c r="E319" s="3" t="s">
        <v>46</v>
      </c>
      <c r="F319" s="1" t="s">
        <v>51</v>
      </c>
      <c r="G319" s="10">
        <v>99.875</v>
      </c>
      <c r="H319" s="7">
        <v>44308.0</v>
      </c>
      <c r="I319" s="3" t="s">
        <v>59</v>
      </c>
      <c r="J319" s="3" t="s">
        <v>1793</v>
      </c>
      <c r="K319" s="3" t="s">
        <v>1793</v>
      </c>
      <c r="L319" s="3" t="s">
        <v>72</v>
      </c>
      <c r="M319" s="4" t="str">
        <f>VLOOKUP(C319,Apoio!A:B,2,0)</f>
        <v>101-250</v>
      </c>
    </row>
    <row r="320">
      <c r="A320" s="3" t="s">
        <v>719</v>
      </c>
      <c r="B320" s="3" t="s">
        <v>59</v>
      </c>
      <c r="C320" s="3" t="s">
        <v>61</v>
      </c>
      <c r="D320" s="3" t="s">
        <v>720</v>
      </c>
      <c r="E320" s="3" t="s">
        <v>46</v>
      </c>
      <c r="F320" s="1" t="s">
        <v>51</v>
      </c>
      <c r="G320" s="10">
        <v>100.997</v>
      </c>
      <c r="H320" s="14">
        <v>45623.0</v>
      </c>
      <c r="I320" s="3" t="s">
        <v>59</v>
      </c>
      <c r="J320" s="3" t="s">
        <v>1794</v>
      </c>
      <c r="K320" s="3" t="s">
        <v>1794</v>
      </c>
      <c r="L320" s="3" t="s">
        <v>172</v>
      </c>
      <c r="M320" s="4" t="str">
        <f>VLOOKUP(C320,Apoio!A:B,2,0)</f>
        <v>11-50</v>
      </c>
    </row>
    <row r="321">
      <c r="A321" s="3" t="s">
        <v>730</v>
      </c>
      <c r="B321" s="3" t="s">
        <v>38</v>
      </c>
      <c r="C321" s="3" t="s">
        <v>61</v>
      </c>
      <c r="D321" s="3" t="s">
        <v>731</v>
      </c>
      <c r="E321" s="3" t="s">
        <v>261</v>
      </c>
      <c r="F321" s="1" t="s">
        <v>51</v>
      </c>
      <c r="G321" s="10">
        <v>102.381</v>
      </c>
      <c r="H321" s="7">
        <v>45708.0</v>
      </c>
      <c r="I321" s="3" t="s">
        <v>68</v>
      </c>
      <c r="J321" s="3" t="s">
        <v>1794</v>
      </c>
      <c r="K321" s="3" t="s">
        <v>1794</v>
      </c>
      <c r="L321" s="3" t="s">
        <v>172</v>
      </c>
      <c r="M321" s="4" t="str">
        <f>VLOOKUP(C321,Apoio!A:B,2,0)</f>
        <v>11-50</v>
      </c>
    </row>
    <row r="322">
      <c r="A322" s="3" t="s">
        <v>1576</v>
      </c>
      <c r="B322" s="3" t="s">
        <v>59</v>
      </c>
      <c r="C322" s="3" t="s">
        <v>61</v>
      </c>
      <c r="D322" s="3" t="s">
        <v>1577</v>
      </c>
      <c r="E322" s="3" t="s">
        <v>46</v>
      </c>
      <c r="F322" s="1" t="s">
        <v>51</v>
      </c>
      <c r="G322" s="10">
        <v>9.76</v>
      </c>
      <c r="H322" s="7">
        <v>46049.0</v>
      </c>
      <c r="I322" s="3" t="s">
        <v>59</v>
      </c>
      <c r="J322" s="3" t="s">
        <v>1795</v>
      </c>
      <c r="K322" s="3" t="s">
        <v>1796</v>
      </c>
      <c r="L322" s="3" t="s">
        <v>172</v>
      </c>
      <c r="M322" s="4" t="str">
        <f>VLOOKUP(C322,Apoio!A:B,2,0)</f>
        <v>11-50</v>
      </c>
    </row>
    <row r="323">
      <c r="A323" s="3" t="s">
        <v>1797</v>
      </c>
      <c r="B323" s="3" t="s">
        <v>76</v>
      </c>
      <c r="C323" s="3" t="s">
        <v>78</v>
      </c>
      <c r="D323" s="3" t="s">
        <v>1798</v>
      </c>
      <c r="E323" s="3" t="s">
        <v>46</v>
      </c>
      <c r="F323" s="1" t="s">
        <v>51</v>
      </c>
      <c r="G323" s="10">
        <v>99.84</v>
      </c>
      <c r="H323" s="7">
        <v>44699.0</v>
      </c>
      <c r="I323" s="3" t="s">
        <v>670</v>
      </c>
      <c r="J323" s="3" t="s">
        <v>1796</v>
      </c>
      <c r="K323" s="3" t="s">
        <v>1796</v>
      </c>
      <c r="L323" s="3" t="s">
        <v>72</v>
      </c>
      <c r="M323" s="4" t="str">
        <f>VLOOKUP(C323,Apoio!A:B,2,0)</f>
        <v>51-100</v>
      </c>
    </row>
    <row r="324">
      <c r="A324" s="3" t="s">
        <v>1587</v>
      </c>
      <c r="B324" s="3" t="s">
        <v>38</v>
      </c>
      <c r="C324" s="3" t="s">
        <v>197</v>
      </c>
      <c r="D324" s="3" t="s">
        <v>1588</v>
      </c>
      <c r="E324" s="3" t="s">
        <v>46</v>
      </c>
      <c r="F324" s="1" t="s">
        <v>51</v>
      </c>
      <c r="G324" s="10">
        <v>21.49</v>
      </c>
      <c r="H324" s="7">
        <v>45714.0</v>
      </c>
      <c r="I324" s="3" t="s">
        <v>68</v>
      </c>
      <c r="J324" s="3" t="s">
        <v>1800</v>
      </c>
      <c r="K324" s="3" t="s">
        <v>1796</v>
      </c>
      <c r="L324" s="3" t="s">
        <v>172</v>
      </c>
      <c r="M324" s="4" t="str">
        <f>VLOOKUP(C324,Apoio!A:B,2,0)</f>
        <v>501-1000</v>
      </c>
    </row>
    <row r="325">
      <c r="A325" s="3" t="s">
        <v>1801</v>
      </c>
      <c r="B325" s="3" t="s">
        <v>289</v>
      </c>
      <c r="C325" s="3" t="s">
        <v>41</v>
      </c>
      <c r="D325" s="3" t="s">
        <v>1802</v>
      </c>
      <c r="E325" s="3" t="s">
        <v>46</v>
      </c>
      <c r="F325" s="1" t="s">
        <v>51</v>
      </c>
      <c r="G325" s="10">
        <v>622.0</v>
      </c>
      <c r="H325" s="7">
        <v>45160.0</v>
      </c>
      <c r="I325" s="3" t="s">
        <v>670</v>
      </c>
      <c r="J325" s="3" t="s">
        <v>1803</v>
      </c>
      <c r="K325" s="3" t="s">
        <v>1804</v>
      </c>
      <c r="L325" s="3" t="s">
        <v>172</v>
      </c>
      <c r="M325" s="4" t="str">
        <f>VLOOKUP(C325,Apoio!A:B,2,0)</f>
        <v>251-500</v>
      </c>
    </row>
    <row r="326">
      <c r="A326" s="3" t="s">
        <v>1806</v>
      </c>
      <c r="B326" s="3" t="s">
        <v>391</v>
      </c>
      <c r="C326" s="3" t="s">
        <v>197</v>
      </c>
      <c r="D326" s="3" t="s">
        <v>1807</v>
      </c>
      <c r="E326" s="3" t="s">
        <v>1808</v>
      </c>
      <c r="F326" s="1" t="s">
        <v>51</v>
      </c>
      <c r="G326" s="10">
        <v>15.294</v>
      </c>
      <c r="H326" s="7">
        <v>45730.0</v>
      </c>
      <c r="I326" s="3" t="s">
        <v>736</v>
      </c>
      <c r="J326" s="3" t="s">
        <v>1809</v>
      </c>
      <c r="K326" s="3" t="s">
        <v>1804</v>
      </c>
      <c r="L326" s="3" t="s">
        <v>72</v>
      </c>
      <c r="M326" s="4" t="str">
        <f>VLOOKUP(C326,Apoio!A:B,2,0)</f>
        <v>501-1000</v>
      </c>
    </row>
    <row r="327">
      <c r="A327" s="3" t="s">
        <v>1810</v>
      </c>
      <c r="B327" s="3" t="s">
        <v>289</v>
      </c>
      <c r="C327" s="3" t="s">
        <v>109</v>
      </c>
      <c r="D327" s="3" t="s">
        <v>1811</v>
      </c>
      <c r="E327" s="3" t="s">
        <v>46</v>
      </c>
      <c r="F327" s="1" t="s">
        <v>51</v>
      </c>
      <c r="G327" s="10">
        <v>21.523</v>
      </c>
      <c r="H327" s="7">
        <v>45079.0</v>
      </c>
      <c r="I327" s="3" t="s">
        <v>670</v>
      </c>
      <c r="J327" s="3" t="s">
        <v>1812</v>
      </c>
      <c r="K327" s="3" t="s">
        <v>1804</v>
      </c>
      <c r="L327" s="3" t="s">
        <v>172</v>
      </c>
      <c r="M327" s="4" t="str">
        <f>VLOOKUP(C327,Apoio!A:B,2,0)</f>
        <v>101-250</v>
      </c>
    </row>
    <row r="328">
      <c r="A328" s="3" t="s">
        <v>1615</v>
      </c>
      <c r="B328" s="3" t="s">
        <v>76</v>
      </c>
      <c r="C328" s="3" t="s">
        <v>78</v>
      </c>
      <c r="D328" s="3" t="s">
        <v>1616</v>
      </c>
      <c r="E328" s="3" t="s">
        <v>46</v>
      </c>
      <c r="F328" s="1" t="s">
        <v>51</v>
      </c>
      <c r="G328" s="10">
        <v>26.88</v>
      </c>
      <c r="H328" s="7">
        <v>45999.0</v>
      </c>
      <c r="I328" s="3" t="s">
        <v>670</v>
      </c>
      <c r="J328" s="3" t="s">
        <v>1814</v>
      </c>
      <c r="K328" s="3" t="s">
        <v>1815</v>
      </c>
      <c r="L328" s="3" t="s">
        <v>172</v>
      </c>
      <c r="M328" s="4" t="str">
        <f>VLOOKUP(C328,Apoio!A:B,2,0)</f>
        <v>51-100</v>
      </c>
    </row>
    <row r="329">
      <c r="A329" s="3" t="s">
        <v>1626</v>
      </c>
      <c r="B329" s="3" t="s">
        <v>76</v>
      </c>
      <c r="C329" s="3" t="s">
        <v>61</v>
      </c>
      <c r="D329" s="3" t="s">
        <v>1627</v>
      </c>
      <c r="E329" s="3" t="s">
        <v>188</v>
      </c>
      <c r="F329" s="1" t="s">
        <v>51</v>
      </c>
      <c r="G329" s="10">
        <v>28.679</v>
      </c>
      <c r="H329" s="7">
        <v>45713.0</v>
      </c>
      <c r="I329" s="3" t="s">
        <v>670</v>
      </c>
      <c r="J329" s="3" t="s">
        <v>1816</v>
      </c>
      <c r="K329" s="3" t="s">
        <v>1815</v>
      </c>
      <c r="L329" s="3" t="s">
        <v>172</v>
      </c>
      <c r="M329" s="4" t="str">
        <f>VLOOKUP(C329,Apoio!A:B,2,0)</f>
        <v>11-50</v>
      </c>
    </row>
    <row r="330">
      <c r="A330" s="3" t="s">
        <v>1668</v>
      </c>
      <c r="B330" s="3" t="s">
        <v>76</v>
      </c>
      <c r="C330" s="3" t="s">
        <v>61</v>
      </c>
      <c r="D330" s="3" t="s">
        <v>1669</v>
      </c>
      <c r="E330" s="3" t="s">
        <v>46</v>
      </c>
      <c r="F330" s="1" t="s">
        <v>51</v>
      </c>
      <c r="G330" s="10">
        <v>22.604</v>
      </c>
      <c r="H330" s="14">
        <v>46001.0</v>
      </c>
      <c r="I330" s="3" t="s">
        <v>670</v>
      </c>
      <c r="J330" s="3" t="s">
        <v>1819</v>
      </c>
      <c r="K330" s="3" t="s">
        <v>1820</v>
      </c>
      <c r="L330" s="3" t="s">
        <v>172</v>
      </c>
      <c r="M330" s="4" t="str">
        <f>VLOOKUP(C330,Apoio!A:B,2,0)</f>
        <v>11-50</v>
      </c>
    </row>
    <row r="331">
      <c r="A331" s="3" t="s">
        <v>1686</v>
      </c>
      <c r="B331" s="3" t="s">
        <v>38</v>
      </c>
      <c r="C331" s="3" t="s">
        <v>346</v>
      </c>
      <c r="D331" s="3" t="s">
        <v>1687</v>
      </c>
      <c r="E331" s="3" t="s">
        <v>376</v>
      </c>
      <c r="F331" s="1" t="s">
        <v>51</v>
      </c>
      <c r="G331" s="10">
        <v>6.198</v>
      </c>
      <c r="H331" s="7">
        <v>45910.0</v>
      </c>
      <c r="I331" s="3" t="s">
        <v>68</v>
      </c>
      <c r="J331" s="3" t="s">
        <v>1821</v>
      </c>
      <c r="K331" s="3" t="s">
        <v>1822</v>
      </c>
      <c r="L331" s="3" t="s">
        <v>172</v>
      </c>
      <c r="M331" s="4" t="str">
        <f>VLOOKUP(C331,Apoio!A:B,2,0)</f>
        <v>1k-5k</v>
      </c>
    </row>
    <row r="332">
      <c r="A332" s="3" t="s">
        <v>1695</v>
      </c>
      <c r="B332" s="3" t="s">
        <v>38</v>
      </c>
      <c r="C332" s="3" t="s">
        <v>41</v>
      </c>
      <c r="D332" s="3" t="s">
        <v>1696</v>
      </c>
      <c r="E332" s="3" t="s">
        <v>46</v>
      </c>
      <c r="F332" s="1" t="s">
        <v>51</v>
      </c>
      <c r="G332" s="10">
        <v>21.037</v>
      </c>
      <c r="H332" s="7">
        <v>45908.0</v>
      </c>
      <c r="I332" s="3" t="s">
        <v>68</v>
      </c>
      <c r="J332" s="3" t="s">
        <v>1825</v>
      </c>
      <c r="K332" s="3" t="s">
        <v>1822</v>
      </c>
      <c r="L332" s="3" t="s">
        <v>672</v>
      </c>
      <c r="M332" s="4" t="str">
        <f>VLOOKUP(C332,Apoio!A:B,2,0)</f>
        <v>251-500</v>
      </c>
    </row>
    <row r="333">
      <c r="A333" s="3" t="s">
        <v>1826</v>
      </c>
      <c r="B333" s="3" t="s">
        <v>76</v>
      </c>
      <c r="C333" s="3" t="s">
        <v>78</v>
      </c>
      <c r="D333" s="3" t="s">
        <v>1827</v>
      </c>
      <c r="E333" s="3" t="s">
        <v>46</v>
      </c>
      <c r="F333" s="1" t="s">
        <v>51</v>
      </c>
      <c r="G333" s="10">
        <v>40.823</v>
      </c>
      <c r="H333" s="7">
        <v>45497.0</v>
      </c>
      <c r="I333" s="3" t="s">
        <v>670</v>
      </c>
      <c r="J333" s="3" t="s">
        <v>1828</v>
      </c>
      <c r="K333" s="3" t="s">
        <v>1822</v>
      </c>
      <c r="L333" s="3" t="s">
        <v>72</v>
      </c>
      <c r="M333" s="4" t="str">
        <f>VLOOKUP(C333,Apoio!A:B,2,0)</f>
        <v>51-100</v>
      </c>
    </row>
    <row r="334">
      <c r="A334" s="3" t="s">
        <v>787</v>
      </c>
      <c r="B334" s="3" t="s">
        <v>59</v>
      </c>
      <c r="C334" s="3" t="s">
        <v>61</v>
      </c>
      <c r="D334" s="3" t="s">
        <v>788</v>
      </c>
      <c r="E334" s="3" t="s">
        <v>1829</v>
      </c>
      <c r="F334" s="1" t="s">
        <v>51</v>
      </c>
      <c r="G334" s="10">
        <v>31.789</v>
      </c>
      <c r="H334" s="7">
        <v>45413.0</v>
      </c>
      <c r="I334" s="3" t="s">
        <v>59</v>
      </c>
      <c r="J334" s="3" t="s">
        <v>1830</v>
      </c>
      <c r="K334" s="3" t="s">
        <v>1831</v>
      </c>
      <c r="L334" s="3" t="s">
        <v>172</v>
      </c>
      <c r="M334" s="4" t="str">
        <f>VLOOKUP(C334,Apoio!A:B,2,0)</f>
        <v>11-50</v>
      </c>
    </row>
    <row r="335">
      <c r="A335" s="3" t="s">
        <v>1833</v>
      </c>
      <c r="B335" s="3" t="s">
        <v>38</v>
      </c>
      <c r="C335" s="3" t="s">
        <v>78</v>
      </c>
      <c r="D335" s="3" t="s">
        <v>1834</v>
      </c>
      <c r="E335" s="3" t="s">
        <v>46</v>
      </c>
      <c r="F335" s="1" t="s">
        <v>51</v>
      </c>
      <c r="G335" s="10">
        <v>101.839</v>
      </c>
      <c r="H335" s="7">
        <v>44586.0</v>
      </c>
      <c r="I335" s="3" t="s">
        <v>68</v>
      </c>
      <c r="J335" s="3" t="s">
        <v>1836</v>
      </c>
      <c r="K335" s="3" t="s">
        <v>1837</v>
      </c>
      <c r="L335" s="3" t="s">
        <v>68</v>
      </c>
      <c r="M335" s="4" t="str">
        <f>VLOOKUP(C335,Apoio!A:B,2,0)</f>
        <v>51-100</v>
      </c>
    </row>
    <row r="336">
      <c r="A336" s="3" t="s">
        <v>1838</v>
      </c>
      <c r="B336" s="3" t="s">
        <v>565</v>
      </c>
      <c r="C336" s="3" t="s">
        <v>346</v>
      </c>
      <c r="D336" s="3" t="s">
        <v>1839</v>
      </c>
      <c r="E336" s="3" t="s">
        <v>188</v>
      </c>
      <c r="F336" s="1" t="s">
        <v>51</v>
      </c>
      <c r="G336" s="10">
        <v>29.585</v>
      </c>
      <c r="H336" s="7">
        <v>44245.0</v>
      </c>
      <c r="I336" s="3" t="s">
        <v>736</v>
      </c>
      <c r="J336" s="3" t="s">
        <v>1840</v>
      </c>
      <c r="K336" s="3" t="s">
        <v>1841</v>
      </c>
      <c r="L336" s="3" t="s">
        <v>72</v>
      </c>
      <c r="M336" s="4" t="str">
        <f>VLOOKUP(C336,Apoio!A:B,2,0)</f>
        <v>1k-5k</v>
      </c>
    </row>
    <row r="337">
      <c r="A337" s="3" t="s">
        <v>1844</v>
      </c>
      <c r="B337" s="3" t="s">
        <v>38</v>
      </c>
      <c r="C337" s="3" t="s">
        <v>41</v>
      </c>
      <c r="D337" s="3" t="s">
        <v>1845</v>
      </c>
      <c r="E337" s="3" t="s">
        <v>1846</v>
      </c>
      <c r="F337" s="1" t="s">
        <v>51</v>
      </c>
      <c r="G337" s="10">
        <v>5.307</v>
      </c>
      <c r="H337" s="7">
        <v>45924.0</v>
      </c>
      <c r="I337" s="3" t="s">
        <v>68</v>
      </c>
      <c r="J337" s="3" t="s">
        <v>1847</v>
      </c>
      <c r="K337" s="3" t="s">
        <v>1848</v>
      </c>
      <c r="L337" s="3" t="s">
        <v>172</v>
      </c>
      <c r="M337" s="4" t="str">
        <f>VLOOKUP(C337,Apoio!A:B,2,0)</f>
        <v>251-500</v>
      </c>
    </row>
    <row r="338">
      <c r="A338" s="3" t="s">
        <v>1774</v>
      </c>
      <c r="B338" s="3" t="s">
        <v>289</v>
      </c>
      <c r="C338" s="3" t="s">
        <v>78</v>
      </c>
      <c r="D338" s="3" t="s">
        <v>1775</v>
      </c>
      <c r="E338" s="3" t="s">
        <v>612</v>
      </c>
      <c r="F338" s="1" t="s">
        <v>51</v>
      </c>
      <c r="G338" s="10">
        <v>10.349</v>
      </c>
      <c r="H338" s="7">
        <v>46043.0</v>
      </c>
      <c r="I338" s="3" t="s">
        <v>670</v>
      </c>
      <c r="J338" s="3" t="s">
        <v>1849</v>
      </c>
      <c r="K338" s="3" t="s">
        <v>1848</v>
      </c>
      <c r="L338" s="3" t="s">
        <v>172</v>
      </c>
      <c r="M338" s="4" t="str">
        <f>VLOOKUP(C338,Apoio!A:B,2,0)</f>
        <v>51-100</v>
      </c>
    </row>
    <row r="339">
      <c r="A339" s="3" t="s">
        <v>1853</v>
      </c>
      <c r="B339" s="3" t="s">
        <v>289</v>
      </c>
      <c r="C339" s="3" t="s">
        <v>330</v>
      </c>
      <c r="D339" s="3" t="s">
        <v>1854</v>
      </c>
      <c r="E339" s="3" t="s">
        <v>46</v>
      </c>
      <c r="F339" s="1" t="s">
        <v>51</v>
      </c>
      <c r="G339" s="10">
        <v>14.846</v>
      </c>
      <c r="H339" s="7">
        <v>44592.0</v>
      </c>
      <c r="I339" s="3" t="s">
        <v>670</v>
      </c>
      <c r="J339" s="3" t="s">
        <v>1855</v>
      </c>
      <c r="K339" s="3" t="s">
        <v>1856</v>
      </c>
      <c r="L339" s="3" t="s">
        <v>72</v>
      </c>
      <c r="M339" s="4" t="str">
        <f>VLOOKUP(C339,Apoio!A:B,2,0)</f>
        <v>501-1000</v>
      </c>
    </row>
    <row r="340">
      <c r="A340" s="3" t="s">
        <v>985</v>
      </c>
      <c r="B340" s="3" t="s">
        <v>38</v>
      </c>
      <c r="C340" s="3" t="s">
        <v>61</v>
      </c>
      <c r="D340" s="3" t="s">
        <v>986</v>
      </c>
      <c r="E340" s="3" t="s">
        <v>1072</v>
      </c>
      <c r="F340" s="1" t="s">
        <v>51</v>
      </c>
      <c r="G340" s="10">
        <v>99.624</v>
      </c>
      <c r="H340" s="7">
        <v>45329.0</v>
      </c>
      <c r="I340" s="3" t="s">
        <v>68</v>
      </c>
      <c r="J340" s="3" t="s">
        <v>1858</v>
      </c>
      <c r="K340" s="3" t="s">
        <v>1858</v>
      </c>
      <c r="L340" s="3" t="s">
        <v>172</v>
      </c>
      <c r="M340" s="4" t="str">
        <f>VLOOKUP(C340,Apoio!A:B,2,0)</f>
        <v>11-50</v>
      </c>
    </row>
    <row r="341">
      <c r="A341" s="3" t="s">
        <v>1018</v>
      </c>
      <c r="B341" s="3" t="s">
        <v>59</v>
      </c>
      <c r="C341" s="3" t="s">
        <v>78</v>
      </c>
      <c r="D341" s="3" t="s">
        <v>1019</v>
      </c>
      <c r="E341" s="3" t="s">
        <v>1859</v>
      </c>
      <c r="F341" s="1" t="s">
        <v>51</v>
      </c>
      <c r="G341" s="10">
        <v>100.006</v>
      </c>
      <c r="H341" s="7">
        <v>44701.0</v>
      </c>
      <c r="I341" s="3" t="s">
        <v>59</v>
      </c>
      <c r="J341" s="3" t="s">
        <v>1860</v>
      </c>
      <c r="K341" s="3" t="s">
        <v>473</v>
      </c>
      <c r="L341" s="3" t="s">
        <v>72</v>
      </c>
      <c r="M341" s="4" t="str">
        <f>VLOOKUP(C341,Apoio!A:B,2,0)</f>
        <v>51-100</v>
      </c>
    </row>
    <row r="342">
      <c r="A342" s="3" t="s">
        <v>1026</v>
      </c>
      <c r="B342" s="3" t="s">
        <v>59</v>
      </c>
      <c r="C342" s="3" t="s">
        <v>61</v>
      </c>
      <c r="D342" s="3" t="s">
        <v>1027</v>
      </c>
      <c r="E342" s="3" t="s">
        <v>188</v>
      </c>
      <c r="F342" s="1" t="s">
        <v>51</v>
      </c>
      <c r="G342" s="10">
        <v>39.456</v>
      </c>
      <c r="H342" s="7">
        <v>45839.0</v>
      </c>
      <c r="I342" s="3" t="s">
        <v>59</v>
      </c>
      <c r="J342" s="3" t="s">
        <v>1863</v>
      </c>
      <c r="K342" s="3" t="s">
        <v>473</v>
      </c>
      <c r="L342" s="3" t="s">
        <v>172</v>
      </c>
      <c r="M342" s="4" t="str">
        <f>VLOOKUP(C342,Apoio!A:B,2,0)</f>
        <v>11-50</v>
      </c>
    </row>
    <row r="343">
      <c r="A343" s="3" t="s">
        <v>1864</v>
      </c>
      <c r="B343" s="3" t="s">
        <v>76</v>
      </c>
      <c r="C343" s="3" t="s">
        <v>109</v>
      </c>
      <c r="D343" s="3" t="s">
        <v>1865</v>
      </c>
      <c r="E343" s="3" t="s">
        <v>220</v>
      </c>
      <c r="F343" s="1" t="s">
        <v>51</v>
      </c>
      <c r="G343" s="10">
        <v>39.998</v>
      </c>
      <c r="H343" s="14">
        <v>45243.0</v>
      </c>
      <c r="I343" s="3" t="s">
        <v>670</v>
      </c>
      <c r="J343" s="3" t="s">
        <v>1866</v>
      </c>
      <c r="K343" s="3" t="s">
        <v>1867</v>
      </c>
      <c r="L343" s="3" t="s">
        <v>72</v>
      </c>
      <c r="M343" s="4" t="str">
        <f>VLOOKUP(C343,Apoio!A:B,2,0)</f>
        <v>101-250</v>
      </c>
    </row>
    <row r="344">
      <c r="A344" s="3" t="s">
        <v>1868</v>
      </c>
      <c r="B344" s="3" t="s">
        <v>76</v>
      </c>
      <c r="C344" s="3" t="s">
        <v>41</v>
      </c>
      <c r="D344" s="3" t="s">
        <v>1869</v>
      </c>
      <c r="E344" s="3" t="s">
        <v>46</v>
      </c>
      <c r="F344" s="1" t="s">
        <v>51</v>
      </c>
      <c r="G344" s="10">
        <v>19.027</v>
      </c>
      <c r="H344" s="7">
        <v>45810.0</v>
      </c>
      <c r="I344" s="3" t="s">
        <v>670</v>
      </c>
      <c r="J344" s="3" t="s">
        <v>1870</v>
      </c>
      <c r="K344" s="3" t="s">
        <v>1871</v>
      </c>
      <c r="L344" s="3" t="s">
        <v>672</v>
      </c>
      <c r="M344" s="4" t="str">
        <f>VLOOKUP(C344,Apoio!A:B,2,0)</f>
        <v>251-500</v>
      </c>
    </row>
    <row r="345">
      <c r="A345" s="3" t="s">
        <v>1873</v>
      </c>
      <c r="B345" s="3" t="s">
        <v>38</v>
      </c>
      <c r="C345" s="3" t="s">
        <v>78</v>
      </c>
      <c r="D345" s="3" t="s">
        <v>1874</v>
      </c>
      <c r="E345" s="3" t="s">
        <v>46</v>
      </c>
      <c r="F345" s="1" t="s">
        <v>51</v>
      </c>
      <c r="G345" s="10">
        <v>100.625</v>
      </c>
      <c r="H345" s="7">
        <v>45785.0</v>
      </c>
      <c r="I345" s="3" t="s">
        <v>68</v>
      </c>
      <c r="J345" s="3" t="s">
        <v>1875</v>
      </c>
      <c r="K345" s="3" t="s">
        <v>1875</v>
      </c>
      <c r="L345" s="3" t="s">
        <v>172</v>
      </c>
      <c r="M345" s="4" t="str">
        <f>VLOOKUP(C345,Apoio!A:B,2,0)</f>
        <v>51-100</v>
      </c>
    </row>
    <row r="346">
      <c r="A346" s="3" t="s">
        <v>1876</v>
      </c>
      <c r="B346" s="3" t="s">
        <v>76</v>
      </c>
      <c r="C346" s="3" t="s">
        <v>61</v>
      </c>
      <c r="D346" s="3" t="s">
        <v>1877</v>
      </c>
      <c r="E346" s="3" t="s">
        <v>46</v>
      </c>
      <c r="F346" s="1" t="s">
        <v>51</v>
      </c>
      <c r="G346" s="10">
        <v>2.876</v>
      </c>
      <c r="H346" s="7">
        <v>46062.0</v>
      </c>
      <c r="I346" s="3" t="s">
        <v>670</v>
      </c>
      <c r="J346" s="3" t="s">
        <v>1878</v>
      </c>
      <c r="K346" s="3" t="s">
        <v>1879</v>
      </c>
      <c r="L346" s="3" t="s">
        <v>672</v>
      </c>
      <c r="M346" s="4" t="str">
        <f>VLOOKUP(C346,Apoio!A:B,2,0)</f>
        <v>11-50</v>
      </c>
    </row>
    <row r="347">
      <c r="A347" s="3" t="s">
        <v>1880</v>
      </c>
      <c r="B347" s="3" t="s">
        <v>76</v>
      </c>
      <c r="C347" s="3" t="s">
        <v>78</v>
      </c>
      <c r="D347" s="3" t="s">
        <v>1504</v>
      </c>
      <c r="E347" s="3" t="s">
        <v>171</v>
      </c>
      <c r="F347" s="8" t="s">
        <v>52</v>
      </c>
      <c r="G347" s="10">
        <v>13.503</v>
      </c>
      <c r="H347" s="14">
        <v>45587.0</v>
      </c>
      <c r="I347" s="3" t="s">
        <v>670</v>
      </c>
      <c r="J347" s="3" t="s">
        <v>1881</v>
      </c>
      <c r="K347" s="3" t="s">
        <v>1882</v>
      </c>
      <c r="L347" s="3" t="s">
        <v>72</v>
      </c>
      <c r="M347" s="4" t="str">
        <f>VLOOKUP(C347,Apoio!A:B,2,0)</f>
        <v>51-100</v>
      </c>
    </row>
    <row r="348">
      <c r="A348" s="3" t="s">
        <v>1883</v>
      </c>
      <c r="B348" s="3" t="s">
        <v>76</v>
      </c>
      <c r="C348" s="3" t="s">
        <v>109</v>
      </c>
      <c r="D348" s="3" t="s">
        <v>1884</v>
      </c>
      <c r="E348" s="3" t="s">
        <v>46</v>
      </c>
      <c r="F348" s="1" t="s">
        <v>51</v>
      </c>
      <c r="G348" s="6">
        <v>49831.0</v>
      </c>
      <c r="H348" s="7">
        <v>44938.0</v>
      </c>
      <c r="I348" s="3" t="s">
        <v>84</v>
      </c>
      <c r="J348" s="3" t="s">
        <v>1885</v>
      </c>
      <c r="K348" s="3" t="s">
        <v>1886</v>
      </c>
      <c r="L348" s="3" t="s">
        <v>72</v>
      </c>
      <c r="M348" s="4" t="str">
        <f>VLOOKUP(C348,Apoio!A:B,2,0)</f>
        <v>101-250</v>
      </c>
    </row>
  </sheetData>
  <hyperlinks>
    <hyperlink r:id="rId1" ref="A29"/>
    <hyperlink r:id="rId2" ref="A48"/>
    <hyperlink r:id="rId3" ref="A50"/>
    <hyperlink r:id="rId4" ref="A196"/>
    <hyperlink r:id="rId5" ref="A223"/>
    <hyperlink r:id="rId6" ref="A235"/>
    <hyperlink r:id="rId7" ref="A245"/>
    <hyperlink r:id="rId8" ref="A252"/>
    <hyperlink r:id="rId9" ref="A271"/>
  </hyperlinks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5.63"/>
    <col customWidth="1" min="13" max="13" width="5.5"/>
  </cols>
  <sheetData>
    <row r="1">
      <c r="A1" s="3" t="s">
        <v>1</v>
      </c>
      <c r="B1" s="3" t="s">
        <v>8</v>
      </c>
      <c r="C1" s="3" t="s">
        <v>14</v>
      </c>
      <c r="D1" s="3" t="s">
        <v>16</v>
      </c>
      <c r="E1" s="5" t="s">
        <v>2</v>
      </c>
      <c r="F1" s="3" t="s">
        <v>22</v>
      </c>
      <c r="G1" s="3" t="s">
        <v>26</v>
      </c>
      <c r="H1" s="3" t="s">
        <v>29</v>
      </c>
      <c r="I1" s="3" t="s">
        <v>31</v>
      </c>
      <c r="J1" s="3" t="s">
        <v>32</v>
      </c>
      <c r="K1" s="1" t="s">
        <v>481</v>
      </c>
      <c r="L1" s="1" t="s">
        <v>482</v>
      </c>
      <c r="M1" s="1" t="s">
        <v>483</v>
      </c>
      <c r="N1" s="1" t="s">
        <v>484</v>
      </c>
      <c r="O1" s="1" t="s">
        <v>486</v>
      </c>
      <c r="P1" s="1" t="s">
        <v>489</v>
      </c>
      <c r="Q1" s="1" t="s">
        <v>490</v>
      </c>
      <c r="S1" s="18"/>
      <c r="T1" s="19"/>
    </row>
    <row r="2">
      <c r="A2" s="3" t="s">
        <v>58</v>
      </c>
      <c r="B2" s="3" t="s">
        <v>59</v>
      </c>
      <c r="C2" s="3" t="s">
        <v>63</v>
      </c>
      <c r="D2" s="3" t="s">
        <v>66</v>
      </c>
      <c r="E2" s="8" t="s">
        <v>52</v>
      </c>
      <c r="F2" s="7">
        <v>44896.0</v>
      </c>
      <c r="G2" s="3" t="s">
        <v>59</v>
      </c>
      <c r="H2" s="20">
        <v>162000.0</v>
      </c>
      <c r="I2" s="20">
        <v>54000.0</v>
      </c>
      <c r="J2" s="3" t="s">
        <v>72</v>
      </c>
      <c r="K2" s="3"/>
      <c r="L2" s="3" t="s">
        <v>496</v>
      </c>
      <c r="M2" s="3"/>
      <c r="N2" s="3"/>
      <c r="O2" s="1" t="s">
        <v>65</v>
      </c>
      <c r="S2" s="21"/>
      <c r="T2" s="21"/>
    </row>
    <row r="3">
      <c r="A3" s="3" t="s">
        <v>165</v>
      </c>
      <c r="B3" s="3" t="s">
        <v>59</v>
      </c>
      <c r="C3" s="3" t="s">
        <v>170</v>
      </c>
      <c r="D3" s="3" t="s">
        <v>171</v>
      </c>
      <c r="E3" s="8" t="s">
        <v>52</v>
      </c>
      <c r="F3" s="7">
        <v>41877.0</v>
      </c>
      <c r="G3" s="3" t="s">
        <v>59</v>
      </c>
      <c r="H3" s="20">
        <v>54000.0</v>
      </c>
      <c r="I3" s="20">
        <v>54000.0</v>
      </c>
      <c r="J3" s="3" t="s">
        <v>72</v>
      </c>
      <c r="K3" s="3"/>
      <c r="L3" s="3" t="s">
        <v>496</v>
      </c>
      <c r="M3" s="3"/>
      <c r="N3" s="3"/>
      <c r="O3" s="1" t="s">
        <v>65</v>
      </c>
      <c r="S3" s="21"/>
      <c r="T3" s="21"/>
    </row>
    <row r="4">
      <c r="A4" s="3" t="s">
        <v>221</v>
      </c>
      <c r="B4" s="3" t="s">
        <v>38</v>
      </c>
      <c r="C4" s="3" t="s">
        <v>223</v>
      </c>
      <c r="D4" s="3" t="s">
        <v>66</v>
      </c>
      <c r="E4" s="8" t="s">
        <v>52</v>
      </c>
      <c r="F4" s="7">
        <v>45832.0</v>
      </c>
      <c r="G4" s="3" t="s">
        <v>68</v>
      </c>
      <c r="H4" s="20">
        <v>2306214.0</v>
      </c>
      <c r="I4" s="20">
        <v>108000.0</v>
      </c>
      <c r="J4" s="3" t="s">
        <v>72</v>
      </c>
      <c r="K4" s="3">
        <v>31.0</v>
      </c>
      <c r="L4" s="3" t="s">
        <v>496</v>
      </c>
      <c r="M4" s="3">
        <v>2017.0</v>
      </c>
      <c r="N4" s="23" t="s">
        <v>499</v>
      </c>
      <c r="S4" s="21"/>
      <c r="T4" s="21"/>
    </row>
    <row r="5">
      <c r="A5" s="3" t="s">
        <v>277</v>
      </c>
      <c r="B5" s="3" t="s">
        <v>59</v>
      </c>
      <c r="C5" s="3" t="s">
        <v>280</v>
      </c>
      <c r="D5" s="3" t="s">
        <v>281</v>
      </c>
      <c r="E5" s="8" t="s">
        <v>52</v>
      </c>
      <c r="F5" s="7">
        <v>44222.0</v>
      </c>
      <c r="G5" s="3" t="s">
        <v>59</v>
      </c>
      <c r="H5" s="20">
        <v>108000.0</v>
      </c>
      <c r="I5" s="20">
        <v>108000.0</v>
      </c>
      <c r="J5" s="3" t="s">
        <v>72</v>
      </c>
      <c r="K5" s="3"/>
      <c r="L5" s="3" t="s">
        <v>496</v>
      </c>
      <c r="M5" s="3"/>
      <c r="N5" s="3"/>
      <c r="O5" s="1" t="s">
        <v>65</v>
      </c>
      <c r="S5" s="21"/>
      <c r="T5" s="21"/>
    </row>
    <row r="6">
      <c r="A6" s="3" t="s">
        <v>311</v>
      </c>
      <c r="B6" s="3" t="s">
        <v>38</v>
      </c>
      <c r="C6" s="3" t="s">
        <v>314</v>
      </c>
      <c r="D6" s="3" t="s">
        <v>171</v>
      </c>
      <c r="E6" s="8" t="s">
        <v>52</v>
      </c>
      <c r="F6" s="7">
        <v>45027.0</v>
      </c>
      <c r="G6" s="3" t="s">
        <v>68</v>
      </c>
      <c r="H6" s="20">
        <v>108000.0</v>
      </c>
      <c r="I6" s="20">
        <v>108000.0</v>
      </c>
      <c r="J6" s="3" t="s">
        <v>172</v>
      </c>
      <c r="K6" s="3">
        <v>169.0</v>
      </c>
      <c r="L6" s="3" t="s">
        <v>514</v>
      </c>
      <c r="M6" s="3">
        <v>2016.0</v>
      </c>
      <c r="N6" s="23" t="s">
        <v>516</v>
      </c>
      <c r="S6" s="21"/>
      <c r="T6" s="21"/>
    </row>
    <row r="7">
      <c r="A7" s="3" t="s">
        <v>340</v>
      </c>
      <c r="B7" s="3" t="s">
        <v>59</v>
      </c>
      <c r="C7" s="3" t="s">
        <v>342</v>
      </c>
      <c r="D7" s="3" t="s">
        <v>343</v>
      </c>
      <c r="E7" s="8" t="s">
        <v>52</v>
      </c>
      <c r="F7" s="7">
        <v>43132.0</v>
      </c>
      <c r="G7" s="3" t="s">
        <v>59</v>
      </c>
      <c r="H7" s="20">
        <v>108000.0</v>
      </c>
      <c r="I7" s="20">
        <v>108000.0</v>
      </c>
      <c r="J7" s="3" t="s">
        <v>72</v>
      </c>
      <c r="K7" s="3">
        <v>57.0</v>
      </c>
      <c r="L7" s="3" t="s">
        <v>538</v>
      </c>
      <c r="M7" s="3">
        <v>2007.0</v>
      </c>
      <c r="N7" s="23" t="s">
        <v>539</v>
      </c>
      <c r="S7" s="21"/>
      <c r="T7" s="21"/>
    </row>
    <row r="8">
      <c r="A8" s="3" t="s">
        <v>353</v>
      </c>
      <c r="B8" s="3" t="s">
        <v>59</v>
      </c>
      <c r="C8" s="3" t="s">
        <v>355</v>
      </c>
      <c r="D8" s="3" t="s">
        <v>356</v>
      </c>
      <c r="E8" s="8" t="s">
        <v>52</v>
      </c>
      <c r="F8" s="7">
        <v>44187.0</v>
      </c>
      <c r="G8" s="3" t="s">
        <v>59</v>
      </c>
      <c r="H8" s="20">
        <v>108000.0</v>
      </c>
      <c r="I8" s="20">
        <v>108000.0</v>
      </c>
      <c r="J8" s="3" t="s">
        <v>72</v>
      </c>
      <c r="K8" s="3"/>
      <c r="L8" s="3" t="s">
        <v>496</v>
      </c>
      <c r="M8" s="3"/>
      <c r="N8" s="3"/>
      <c r="O8" s="1" t="s">
        <v>65</v>
      </c>
      <c r="S8" s="21"/>
      <c r="T8" s="21"/>
    </row>
    <row r="9">
      <c r="A9" s="3" t="s">
        <v>369</v>
      </c>
      <c r="B9" s="3" t="s">
        <v>59</v>
      </c>
      <c r="C9" s="3" t="s">
        <v>370</v>
      </c>
      <c r="D9" s="3" t="s">
        <v>171</v>
      </c>
      <c r="E9" s="8" t="s">
        <v>52</v>
      </c>
      <c r="F9" s="7">
        <v>42706.0</v>
      </c>
      <c r="G9" s="3" t="s">
        <v>59</v>
      </c>
      <c r="H9" s="20">
        <v>1164772.0</v>
      </c>
      <c r="I9" s="20">
        <v>108000.0</v>
      </c>
      <c r="J9" s="3" t="s">
        <v>68</v>
      </c>
      <c r="K9" s="3"/>
      <c r="L9" s="3" t="s">
        <v>496</v>
      </c>
      <c r="M9" s="3"/>
      <c r="N9" s="23" t="s">
        <v>555</v>
      </c>
      <c r="O9" s="1" t="s">
        <v>65</v>
      </c>
      <c r="S9" s="21"/>
      <c r="T9" s="21"/>
    </row>
    <row r="10">
      <c r="A10" s="3" t="s">
        <v>385</v>
      </c>
      <c r="B10" s="3" t="s">
        <v>59</v>
      </c>
      <c r="C10" s="3" t="s">
        <v>386</v>
      </c>
      <c r="D10" s="3" t="s">
        <v>387</v>
      </c>
      <c r="E10" s="8" t="s">
        <v>52</v>
      </c>
      <c r="F10" s="7">
        <v>43082.0</v>
      </c>
      <c r="G10" s="3" t="s">
        <v>59</v>
      </c>
      <c r="H10" s="20">
        <v>162000.0</v>
      </c>
      <c r="I10" s="20">
        <v>108000.0</v>
      </c>
      <c r="J10" s="3" t="s">
        <v>72</v>
      </c>
      <c r="K10" s="3"/>
      <c r="L10" s="3" t="s">
        <v>496</v>
      </c>
      <c r="M10" s="3"/>
      <c r="N10" s="3"/>
      <c r="O10" s="1" t="s">
        <v>65</v>
      </c>
      <c r="S10" s="21"/>
      <c r="T10" s="21"/>
    </row>
    <row r="11">
      <c r="A11" s="3" t="s">
        <v>394</v>
      </c>
      <c r="B11" s="3" t="s">
        <v>59</v>
      </c>
      <c r="C11" s="3" t="s">
        <v>396</v>
      </c>
      <c r="D11" s="3" t="s">
        <v>397</v>
      </c>
      <c r="E11" s="8" t="s">
        <v>52</v>
      </c>
      <c r="F11" s="7">
        <v>44194.0</v>
      </c>
      <c r="G11" s="3" t="s">
        <v>59</v>
      </c>
      <c r="H11" s="20">
        <v>108000.0</v>
      </c>
      <c r="I11" s="20">
        <v>108000.0</v>
      </c>
      <c r="J11" s="3" t="s">
        <v>68</v>
      </c>
      <c r="K11" s="3"/>
      <c r="L11" s="3" t="s">
        <v>496</v>
      </c>
      <c r="M11" s="3"/>
      <c r="N11" s="3"/>
      <c r="O11" s="1" t="s">
        <v>65</v>
      </c>
      <c r="Q11" s="1"/>
      <c r="S11" s="21"/>
      <c r="T11" s="21"/>
    </row>
    <row r="12">
      <c r="A12" s="3" t="s">
        <v>405</v>
      </c>
      <c r="B12" s="3" t="s">
        <v>59</v>
      </c>
      <c r="C12" s="3" t="s">
        <v>406</v>
      </c>
      <c r="D12" s="3" t="s">
        <v>408</v>
      </c>
      <c r="E12" s="8" t="s">
        <v>52</v>
      </c>
      <c r="F12" s="7">
        <v>44265.0</v>
      </c>
      <c r="G12" s="3" t="s">
        <v>59</v>
      </c>
      <c r="H12" s="20">
        <v>2288019.0</v>
      </c>
      <c r="I12" s="20">
        <v>139471.0</v>
      </c>
      <c r="J12" s="3" t="s">
        <v>72</v>
      </c>
      <c r="K12" s="3"/>
      <c r="L12" s="3" t="s">
        <v>496</v>
      </c>
      <c r="M12" s="3"/>
      <c r="N12" s="23" t="s">
        <v>575</v>
      </c>
      <c r="O12" s="1" t="s">
        <v>65</v>
      </c>
      <c r="S12" s="18"/>
      <c r="T12" s="18"/>
    </row>
    <row r="13">
      <c r="A13" s="3" t="s">
        <v>415</v>
      </c>
      <c r="B13" s="3" t="s">
        <v>59</v>
      </c>
      <c r="C13" s="3" t="s">
        <v>417</v>
      </c>
      <c r="D13" s="3" t="s">
        <v>171</v>
      </c>
      <c r="E13" s="8" t="s">
        <v>52</v>
      </c>
      <c r="F13" s="7">
        <v>41445.0</v>
      </c>
      <c r="G13" s="3" t="s">
        <v>59</v>
      </c>
      <c r="H13" s="20">
        <v>162000.0</v>
      </c>
      <c r="I13" s="20">
        <v>162000.0</v>
      </c>
      <c r="J13" s="3" t="s">
        <v>72</v>
      </c>
      <c r="K13" s="3"/>
      <c r="L13" s="3" t="s">
        <v>496</v>
      </c>
      <c r="M13" s="3">
        <v>2021.0</v>
      </c>
      <c r="N13" s="23" t="s">
        <v>586</v>
      </c>
      <c r="O13" s="1" t="s">
        <v>65</v>
      </c>
      <c r="S13" s="21"/>
      <c r="T13" s="21"/>
    </row>
    <row r="14">
      <c r="A14" s="3" t="s">
        <v>423</v>
      </c>
      <c r="B14" s="3" t="s">
        <v>59</v>
      </c>
      <c r="C14" s="3" t="s">
        <v>425</v>
      </c>
      <c r="D14" s="3" t="s">
        <v>171</v>
      </c>
      <c r="E14" s="8" t="s">
        <v>52</v>
      </c>
      <c r="F14" s="7">
        <v>44294.0</v>
      </c>
      <c r="G14" s="3" t="s">
        <v>59</v>
      </c>
      <c r="H14" s="20">
        <v>216000.0</v>
      </c>
      <c r="I14" s="20">
        <v>216000.0</v>
      </c>
      <c r="J14" s="3" t="s">
        <v>72</v>
      </c>
      <c r="K14" s="3"/>
      <c r="L14" s="3" t="s">
        <v>496</v>
      </c>
      <c r="M14" s="3">
        <v>2019.0</v>
      </c>
      <c r="N14" s="23" t="s">
        <v>597</v>
      </c>
      <c r="S14" s="21"/>
      <c r="T14" s="21"/>
    </row>
    <row r="15">
      <c r="A15" s="3" t="s">
        <v>430</v>
      </c>
      <c r="B15" s="3" t="s">
        <v>59</v>
      </c>
      <c r="C15" s="3" t="s">
        <v>432</v>
      </c>
      <c r="D15" s="3" t="s">
        <v>171</v>
      </c>
      <c r="E15" s="8" t="s">
        <v>52</v>
      </c>
      <c r="F15" s="7">
        <v>42064.0</v>
      </c>
      <c r="G15" s="3" t="s">
        <v>59</v>
      </c>
      <c r="H15" s="20">
        <v>216000.0</v>
      </c>
      <c r="I15" s="20">
        <v>216000.0</v>
      </c>
      <c r="J15" s="3" t="s">
        <v>72</v>
      </c>
      <c r="K15" s="3"/>
      <c r="L15" s="3" t="s">
        <v>496</v>
      </c>
      <c r="M15" s="3">
        <v>2015.0</v>
      </c>
      <c r="N15" s="23" t="s">
        <v>605</v>
      </c>
      <c r="Q15" s="1"/>
      <c r="S15" s="21"/>
      <c r="T15" s="21"/>
    </row>
    <row r="16">
      <c r="A16" s="3" t="s">
        <v>440</v>
      </c>
      <c r="B16" s="3" t="s">
        <v>59</v>
      </c>
      <c r="C16" s="3" t="s">
        <v>442</v>
      </c>
      <c r="D16" s="3" t="s">
        <v>443</v>
      </c>
      <c r="E16" s="8" t="s">
        <v>52</v>
      </c>
      <c r="F16" s="7">
        <v>41548.0</v>
      </c>
      <c r="G16" s="3" t="s">
        <v>59</v>
      </c>
      <c r="H16" s="20">
        <v>788400.0</v>
      </c>
      <c r="I16" s="20">
        <v>248400.0</v>
      </c>
      <c r="J16" s="3" t="s">
        <v>72</v>
      </c>
      <c r="K16" s="3">
        <v>35.0</v>
      </c>
      <c r="L16" s="3" t="s">
        <v>496</v>
      </c>
      <c r="M16" s="3">
        <v>2007.0</v>
      </c>
      <c r="N16" s="23" t="s">
        <v>620</v>
      </c>
      <c r="S16" s="21"/>
      <c r="T16" s="21"/>
    </row>
    <row r="17">
      <c r="A17" s="3" t="s">
        <v>449</v>
      </c>
      <c r="B17" s="3" t="s">
        <v>59</v>
      </c>
      <c r="C17" s="3" t="s">
        <v>450</v>
      </c>
      <c r="D17" s="3" t="s">
        <v>171</v>
      </c>
      <c r="E17" s="8" t="s">
        <v>52</v>
      </c>
      <c r="F17" s="7">
        <v>44985.0</v>
      </c>
      <c r="G17" s="3" t="s">
        <v>59</v>
      </c>
      <c r="H17" s="20">
        <v>270000.0</v>
      </c>
      <c r="I17" s="20">
        <v>270000.0</v>
      </c>
      <c r="J17" s="3" t="s">
        <v>72</v>
      </c>
      <c r="K17" s="3">
        <v>29.0</v>
      </c>
      <c r="L17" s="3" t="s">
        <v>496</v>
      </c>
      <c r="M17" s="3">
        <v>2015.0</v>
      </c>
      <c r="N17" s="23" t="s">
        <v>633</v>
      </c>
      <c r="O17" s="1" t="s">
        <v>65</v>
      </c>
      <c r="S17" s="21"/>
      <c r="T17" s="21"/>
    </row>
    <row r="18">
      <c r="A18" s="3" t="s">
        <v>456</v>
      </c>
      <c r="B18" s="3" t="s">
        <v>59</v>
      </c>
      <c r="C18" s="3" t="s">
        <v>457</v>
      </c>
      <c r="D18" s="3" t="s">
        <v>66</v>
      </c>
      <c r="E18" s="8" t="s">
        <v>52</v>
      </c>
      <c r="F18" s="7">
        <v>42339.0</v>
      </c>
      <c r="G18" s="3" t="s">
        <v>167</v>
      </c>
      <c r="H18" s="20">
        <v>1350000.0</v>
      </c>
      <c r="I18" s="20">
        <v>270000.0</v>
      </c>
      <c r="J18" s="3" t="s">
        <v>68</v>
      </c>
      <c r="K18" s="3"/>
      <c r="L18" s="3" t="s">
        <v>496</v>
      </c>
      <c r="M18" s="3"/>
      <c r="N18" s="3"/>
      <c r="O18" s="1" t="s">
        <v>65</v>
      </c>
      <c r="S18" s="21"/>
      <c r="T18" s="21"/>
    </row>
    <row r="19">
      <c r="A19" s="3" t="s">
        <v>462</v>
      </c>
      <c r="B19" s="3" t="s">
        <v>59</v>
      </c>
      <c r="C19" s="3" t="s">
        <v>463</v>
      </c>
      <c r="D19" s="3" t="s">
        <v>464</v>
      </c>
      <c r="E19" s="8" t="s">
        <v>52</v>
      </c>
      <c r="F19" s="7">
        <v>43524.0</v>
      </c>
      <c r="G19" s="3" t="s">
        <v>59</v>
      </c>
      <c r="H19" s="20">
        <v>324000.0</v>
      </c>
      <c r="I19" s="20">
        <v>324000.0</v>
      </c>
      <c r="J19" s="3" t="s">
        <v>72</v>
      </c>
      <c r="K19" s="3">
        <v>47.0</v>
      </c>
      <c r="L19" s="3" t="s">
        <v>496</v>
      </c>
      <c r="M19" s="3">
        <v>2017.0</v>
      </c>
      <c r="N19" s="23" t="s">
        <v>650</v>
      </c>
      <c r="S19" s="21"/>
      <c r="T19" s="21"/>
    </row>
    <row r="20">
      <c r="A20" s="3" t="s">
        <v>465</v>
      </c>
      <c r="B20" s="3" t="s">
        <v>59</v>
      </c>
      <c r="C20" s="3" t="s">
        <v>466</v>
      </c>
      <c r="D20" s="3" t="s">
        <v>467</v>
      </c>
      <c r="E20" s="8" t="s">
        <v>52</v>
      </c>
      <c r="F20" s="7">
        <v>41820.0</v>
      </c>
      <c r="G20" s="3" t="s">
        <v>59</v>
      </c>
      <c r="H20" s="20">
        <v>324000.0</v>
      </c>
      <c r="I20" s="20">
        <v>324000.0</v>
      </c>
      <c r="J20" s="3" t="s">
        <v>72</v>
      </c>
      <c r="K20" s="3">
        <v>4.0</v>
      </c>
      <c r="L20" s="3" t="s">
        <v>584</v>
      </c>
      <c r="M20" s="3">
        <v>2014.0</v>
      </c>
      <c r="N20" s="23" t="s">
        <v>666</v>
      </c>
      <c r="S20" s="21"/>
      <c r="T20" s="21"/>
    </row>
    <row r="21">
      <c r="A21" s="3" t="s">
        <v>468</v>
      </c>
      <c r="B21" s="3" t="s">
        <v>59</v>
      </c>
      <c r="C21" s="3" t="s">
        <v>469</v>
      </c>
      <c r="D21" s="3" t="s">
        <v>470</v>
      </c>
      <c r="E21" s="8" t="s">
        <v>52</v>
      </c>
      <c r="F21" s="7">
        <v>43415.0</v>
      </c>
      <c r="G21" s="3" t="s">
        <v>59</v>
      </c>
      <c r="H21" s="20">
        <v>486000.0</v>
      </c>
      <c r="I21" s="20">
        <v>486000.0</v>
      </c>
      <c r="J21" s="3" t="s">
        <v>72</v>
      </c>
      <c r="K21" s="3"/>
      <c r="L21" s="3" t="s">
        <v>496</v>
      </c>
      <c r="M21" s="3">
        <v>2018.0</v>
      </c>
      <c r="N21" s="23" t="s">
        <v>681</v>
      </c>
      <c r="O21" s="1" t="s">
        <v>65</v>
      </c>
      <c r="S21" s="21"/>
      <c r="T21" s="21"/>
    </row>
    <row r="22">
      <c r="A22" s="3" t="s">
        <v>471</v>
      </c>
      <c r="B22" s="3" t="s">
        <v>59</v>
      </c>
      <c r="C22" s="3" t="s">
        <v>472</v>
      </c>
      <c r="D22" s="3" t="s">
        <v>261</v>
      </c>
      <c r="E22" s="8" t="s">
        <v>51</v>
      </c>
      <c r="F22" s="7">
        <v>44596.0</v>
      </c>
      <c r="G22" s="3" t="s">
        <v>59</v>
      </c>
      <c r="H22" s="20">
        <v>1350000.0</v>
      </c>
      <c r="I22" s="20">
        <v>540000.0</v>
      </c>
      <c r="J22" s="3" t="s">
        <v>72</v>
      </c>
      <c r="K22" s="3"/>
      <c r="L22" s="3" t="s">
        <v>496</v>
      </c>
      <c r="M22" s="3"/>
      <c r="N22" s="3"/>
      <c r="O22" s="1" t="s">
        <v>65</v>
      </c>
      <c r="S22" s="18"/>
      <c r="T22" s="21"/>
    </row>
    <row r="23">
      <c r="A23" s="3" t="s">
        <v>474</v>
      </c>
      <c r="B23" s="3" t="s">
        <v>59</v>
      </c>
      <c r="C23" s="3" t="s">
        <v>475</v>
      </c>
      <c r="D23" s="3" t="s">
        <v>397</v>
      </c>
      <c r="E23" s="8" t="s">
        <v>52</v>
      </c>
      <c r="F23" s="7">
        <v>44918.0</v>
      </c>
      <c r="G23" s="3" t="s">
        <v>59</v>
      </c>
      <c r="H23" s="20">
        <v>3996000.0</v>
      </c>
      <c r="I23" s="20">
        <v>540000.0</v>
      </c>
      <c r="J23" s="3" t="s">
        <v>72</v>
      </c>
      <c r="K23" s="3">
        <v>8.0</v>
      </c>
      <c r="L23" s="3" t="s">
        <v>584</v>
      </c>
      <c r="M23" s="3">
        <v>2013.0</v>
      </c>
      <c r="N23" s="23" t="s">
        <v>696</v>
      </c>
      <c r="S23" s="21"/>
      <c r="T23" s="21"/>
    </row>
    <row r="24">
      <c r="A24" s="3" t="s">
        <v>477</v>
      </c>
      <c r="B24" s="3" t="s">
        <v>59</v>
      </c>
      <c r="C24" s="3" t="s">
        <v>478</v>
      </c>
      <c r="D24" s="3" t="s">
        <v>66</v>
      </c>
      <c r="E24" s="8" t="s">
        <v>52</v>
      </c>
      <c r="F24" s="7">
        <v>43451.0</v>
      </c>
      <c r="G24" s="3" t="s">
        <v>59</v>
      </c>
      <c r="H24" s="20">
        <v>540000.0</v>
      </c>
      <c r="I24" s="20">
        <v>540000.0</v>
      </c>
      <c r="J24" s="3" t="s">
        <v>72</v>
      </c>
      <c r="K24" s="3">
        <v>35.0</v>
      </c>
      <c r="L24" s="3" t="s">
        <v>496</v>
      </c>
      <c r="M24" s="3">
        <v>2017.0</v>
      </c>
      <c r="N24" s="23" t="s">
        <v>709</v>
      </c>
      <c r="S24" s="21"/>
      <c r="T24" s="21"/>
    </row>
    <row r="25">
      <c r="A25" s="3" t="s">
        <v>479</v>
      </c>
      <c r="B25" s="3" t="s">
        <v>59</v>
      </c>
      <c r="C25" s="3" t="s">
        <v>480</v>
      </c>
      <c r="D25" s="3" t="s">
        <v>66</v>
      </c>
      <c r="E25" s="8" t="s">
        <v>52</v>
      </c>
      <c r="F25" s="7">
        <v>43731.0</v>
      </c>
      <c r="G25" s="3" t="s">
        <v>59</v>
      </c>
      <c r="H25" s="20">
        <v>540000.0</v>
      </c>
      <c r="I25" s="20">
        <v>540000.0</v>
      </c>
      <c r="J25" s="3" t="s">
        <v>72</v>
      </c>
      <c r="K25" s="3"/>
      <c r="L25" s="3" t="s">
        <v>496</v>
      </c>
      <c r="M25" s="3"/>
      <c r="N25" s="3"/>
      <c r="O25" s="1" t="s">
        <v>65</v>
      </c>
      <c r="S25" s="21"/>
      <c r="T25" s="21"/>
    </row>
    <row r="26">
      <c r="A26" s="3" t="s">
        <v>485</v>
      </c>
      <c r="B26" s="3" t="s">
        <v>59</v>
      </c>
      <c r="C26" s="3" t="s">
        <v>487</v>
      </c>
      <c r="D26" s="3" t="s">
        <v>488</v>
      </c>
      <c r="E26" s="8" t="s">
        <v>52</v>
      </c>
      <c r="F26" s="7">
        <v>43501.0</v>
      </c>
      <c r="G26" s="3" t="s">
        <v>59</v>
      </c>
      <c r="H26" s="20">
        <v>540000.0</v>
      </c>
      <c r="I26" s="20">
        <v>540000.0</v>
      </c>
      <c r="J26" s="3" t="s">
        <v>68</v>
      </c>
      <c r="K26" s="3"/>
      <c r="L26" s="3" t="s">
        <v>496</v>
      </c>
      <c r="M26" s="3"/>
      <c r="N26" s="3"/>
      <c r="O26" s="1" t="s">
        <v>65</v>
      </c>
      <c r="S26" s="21"/>
      <c r="T26" s="21"/>
    </row>
    <row r="27">
      <c r="A27" s="3" t="s">
        <v>491</v>
      </c>
      <c r="B27" s="3" t="s">
        <v>59</v>
      </c>
      <c r="C27" s="3" t="s">
        <v>492</v>
      </c>
      <c r="D27" s="3" t="s">
        <v>66</v>
      </c>
      <c r="E27" s="8" t="s">
        <v>52</v>
      </c>
      <c r="F27" s="7">
        <v>43646.0</v>
      </c>
      <c r="G27" s="3" t="s">
        <v>59</v>
      </c>
      <c r="H27" s="20">
        <v>864000.0</v>
      </c>
      <c r="I27" s="20">
        <v>648000.0</v>
      </c>
      <c r="J27" s="3" t="s">
        <v>72</v>
      </c>
      <c r="K27" s="3"/>
      <c r="L27" s="3" t="s">
        <v>496</v>
      </c>
      <c r="M27" s="3">
        <v>2019.0</v>
      </c>
      <c r="N27" s="23" t="s">
        <v>734</v>
      </c>
      <c r="S27" s="21"/>
      <c r="T27" s="21"/>
    </row>
    <row r="28">
      <c r="A28" s="3" t="s">
        <v>493</v>
      </c>
      <c r="B28" s="3" t="s">
        <v>59</v>
      </c>
      <c r="C28" s="3" t="s">
        <v>494</v>
      </c>
      <c r="D28" s="3" t="s">
        <v>495</v>
      </c>
      <c r="E28" s="8" t="s">
        <v>52</v>
      </c>
      <c r="F28" s="7">
        <v>43504.0</v>
      </c>
      <c r="G28" s="3" t="s">
        <v>59</v>
      </c>
      <c r="H28" s="20">
        <v>648000.0</v>
      </c>
      <c r="I28" s="20">
        <v>648000.0</v>
      </c>
      <c r="J28" s="3" t="s">
        <v>72</v>
      </c>
      <c r="K28" s="3"/>
      <c r="L28" s="3" t="s">
        <v>496</v>
      </c>
      <c r="M28" s="3">
        <v>2013.0</v>
      </c>
      <c r="N28" s="23" t="s">
        <v>741</v>
      </c>
      <c r="S28" s="21"/>
      <c r="T28" s="21"/>
    </row>
    <row r="29">
      <c r="A29" s="23" t="s">
        <v>750</v>
      </c>
      <c r="B29" s="3" t="s">
        <v>59</v>
      </c>
      <c r="C29" s="3" t="s">
        <v>498</v>
      </c>
      <c r="D29" s="3" t="s">
        <v>66</v>
      </c>
      <c r="E29" s="8" t="s">
        <v>52</v>
      </c>
      <c r="F29" s="7">
        <v>41830.0</v>
      </c>
      <c r="G29" s="3" t="s">
        <v>167</v>
      </c>
      <c r="H29" s="20">
        <v>702000.0</v>
      </c>
      <c r="I29" s="20">
        <v>702000.0</v>
      </c>
      <c r="J29" s="3" t="s">
        <v>72</v>
      </c>
      <c r="K29" s="3">
        <v>70.0</v>
      </c>
      <c r="L29" s="3" t="s">
        <v>538</v>
      </c>
      <c r="M29" s="3">
        <v>2013.0</v>
      </c>
      <c r="N29" s="23" t="s">
        <v>758</v>
      </c>
      <c r="S29" s="21"/>
      <c r="T29" s="21"/>
    </row>
    <row r="30">
      <c r="A30" s="3" t="s">
        <v>500</v>
      </c>
      <c r="B30" s="3" t="s">
        <v>59</v>
      </c>
      <c r="C30" s="3" t="s">
        <v>501</v>
      </c>
      <c r="D30" s="3" t="s">
        <v>502</v>
      </c>
      <c r="E30" s="8" t="s">
        <v>52</v>
      </c>
      <c r="F30" s="7">
        <v>44864.0</v>
      </c>
      <c r="G30" s="3" t="s">
        <v>59</v>
      </c>
      <c r="H30" s="20">
        <v>756000.0</v>
      </c>
      <c r="I30" s="20">
        <v>756000.0</v>
      </c>
      <c r="J30" s="3" t="s">
        <v>72</v>
      </c>
      <c r="K30" s="3"/>
      <c r="L30" s="3" t="s">
        <v>496</v>
      </c>
      <c r="M30" s="3">
        <v>2013.0</v>
      </c>
      <c r="N30" s="23" t="s">
        <v>771</v>
      </c>
      <c r="S30" s="21"/>
      <c r="T30" s="21"/>
    </row>
    <row r="31">
      <c r="A31" s="3" t="s">
        <v>503</v>
      </c>
      <c r="B31" s="3" t="s">
        <v>59</v>
      </c>
      <c r="C31" s="3" t="s">
        <v>504</v>
      </c>
      <c r="D31" s="3" t="s">
        <v>66</v>
      </c>
      <c r="E31" s="8" t="s">
        <v>52</v>
      </c>
      <c r="F31" s="7">
        <v>41817.0</v>
      </c>
      <c r="G31" s="3" t="s">
        <v>59</v>
      </c>
      <c r="H31" s="20">
        <v>810000.0</v>
      </c>
      <c r="I31" s="20">
        <v>810000.0</v>
      </c>
      <c r="J31" s="3" t="s">
        <v>68</v>
      </c>
      <c r="K31" s="3"/>
      <c r="L31" s="3" t="s">
        <v>496</v>
      </c>
      <c r="M31" s="3">
        <v>2012.0</v>
      </c>
      <c r="N31" s="3"/>
      <c r="O31" s="1" t="s">
        <v>65</v>
      </c>
      <c r="S31" s="21"/>
      <c r="T31" s="21"/>
    </row>
    <row r="32">
      <c r="A32" s="3" t="s">
        <v>506</v>
      </c>
      <c r="B32" s="3" t="s">
        <v>59</v>
      </c>
      <c r="C32" s="3" t="s">
        <v>507</v>
      </c>
      <c r="D32" s="3" t="s">
        <v>488</v>
      </c>
      <c r="E32" s="8" t="s">
        <v>52</v>
      </c>
      <c r="F32" s="7">
        <v>41480.0</v>
      </c>
      <c r="G32" s="3" t="s">
        <v>167</v>
      </c>
      <c r="H32" s="20">
        <v>820800.0</v>
      </c>
      <c r="I32" s="20">
        <v>820800.0</v>
      </c>
      <c r="J32" s="3" t="s">
        <v>68</v>
      </c>
      <c r="K32" s="3"/>
      <c r="L32" s="3" t="s">
        <v>496</v>
      </c>
      <c r="M32" s="3"/>
      <c r="N32" s="3"/>
      <c r="O32" s="1" t="s">
        <v>65</v>
      </c>
      <c r="S32" s="21"/>
      <c r="T32" s="21"/>
    </row>
    <row r="33">
      <c r="A33" s="3" t="s">
        <v>509</v>
      </c>
      <c r="B33" s="3" t="s">
        <v>59</v>
      </c>
      <c r="C33" s="3" t="s">
        <v>510</v>
      </c>
      <c r="D33" s="3" t="s">
        <v>171</v>
      </c>
      <c r="E33" s="8" t="s">
        <v>52</v>
      </c>
      <c r="F33" s="7">
        <v>44797.0</v>
      </c>
      <c r="G33" s="3" t="s">
        <v>59</v>
      </c>
      <c r="H33" s="20">
        <v>831600.0</v>
      </c>
      <c r="I33" s="20">
        <v>831600.0</v>
      </c>
      <c r="J33" s="3" t="s">
        <v>72</v>
      </c>
      <c r="K33" s="3"/>
      <c r="L33" s="3" t="s">
        <v>496</v>
      </c>
      <c r="M33" s="3">
        <v>2021.0</v>
      </c>
      <c r="N33" s="23" t="s">
        <v>790</v>
      </c>
      <c r="S33" s="21"/>
      <c r="T33" s="21"/>
    </row>
    <row r="34">
      <c r="A34" s="3" t="s">
        <v>511</v>
      </c>
      <c r="B34" s="3" t="s">
        <v>59</v>
      </c>
      <c r="C34" s="3" t="s">
        <v>512</v>
      </c>
      <c r="D34" s="3" t="s">
        <v>171</v>
      </c>
      <c r="E34" s="8" t="s">
        <v>52</v>
      </c>
      <c r="F34" s="7">
        <v>44454.0</v>
      </c>
      <c r="G34" s="3" t="s">
        <v>59</v>
      </c>
      <c r="H34" s="20">
        <v>1285200.0</v>
      </c>
      <c r="I34" s="20">
        <v>864000.0</v>
      </c>
      <c r="J34" s="3" t="s">
        <v>72</v>
      </c>
      <c r="K34" s="3"/>
      <c r="L34" s="3" t="s">
        <v>496</v>
      </c>
      <c r="M34" s="3">
        <v>2017.0</v>
      </c>
      <c r="N34" s="23" t="s">
        <v>805</v>
      </c>
      <c r="S34" s="21"/>
      <c r="T34" s="21"/>
    </row>
    <row r="35">
      <c r="A35" s="3" t="s">
        <v>517</v>
      </c>
      <c r="B35" s="3" t="s">
        <v>59</v>
      </c>
      <c r="C35" s="3" t="s">
        <v>518</v>
      </c>
      <c r="D35" s="3" t="s">
        <v>66</v>
      </c>
      <c r="E35" s="8" t="s">
        <v>52</v>
      </c>
      <c r="F35" s="7">
        <v>44470.0</v>
      </c>
      <c r="G35" s="3" t="s">
        <v>59</v>
      </c>
      <c r="H35" s="20">
        <v>3132000.0</v>
      </c>
      <c r="I35" s="20">
        <v>972000.0</v>
      </c>
      <c r="J35" s="3" t="s">
        <v>72</v>
      </c>
      <c r="K35" s="3"/>
      <c r="L35" s="3" t="s">
        <v>496</v>
      </c>
      <c r="M35" s="3">
        <v>2018.0</v>
      </c>
      <c r="N35" s="23" t="s">
        <v>820</v>
      </c>
      <c r="S35" s="21"/>
      <c r="T35" s="21"/>
    </row>
    <row r="36">
      <c r="A36" s="3" t="s">
        <v>529</v>
      </c>
      <c r="B36" s="3" t="s">
        <v>59</v>
      </c>
      <c r="C36" s="3" t="s">
        <v>530</v>
      </c>
      <c r="D36" s="3" t="s">
        <v>531</v>
      </c>
      <c r="E36" s="8" t="s">
        <v>52</v>
      </c>
      <c r="F36" s="7" t="s">
        <v>68</v>
      </c>
      <c r="G36" s="3" t="s">
        <v>68</v>
      </c>
      <c r="H36" s="20" t="s">
        <v>68</v>
      </c>
      <c r="I36" s="20" t="s">
        <v>68</v>
      </c>
      <c r="J36" s="3" t="s">
        <v>68</v>
      </c>
      <c r="K36" s="3"/>
      <c r="L36" s="3" t="s">
        <v>496</v>
      </c>
      <c r="M36" s="3"/>
      <c r="N36" s="3"/>
      <c r="O36" s="1" t="s">
        <v>65</v>
      </c>
      <c r="S36" s="21"/>
      <c r="T36" s="21"/>
    </row>
    <row r="37">
      <c r="A37" s="3" t="s">
        <v>532</v>
      </c>
      <c r="B37" s="3" t="s">
        <v>320</v>
      </c>
      <c r="C37" s="3" t="s">
        <v>535</v>
      </c>
      <c r="D37" s="3" t="s">
        <v>46</v>
      </c>
      <c r="E37" s="8" t="s">
        <v>51</v>
      </c>
      <c r="F37" s="7">
        <v>46049.0</v>
      </c>
      <c r="G37" s="3" t="s">
        <v>364</v>
      </c>
      <c r="H37" s="20">
        <v>2.5E9</v>
      </c>
      <c r="I37" s="20">
        <v>1.5E9</v>
      </c>
      <c r="J37" s="3" t="s">
        <v>72</v>
      </c>
      <c r="K37" s="3"/>
      <c r="L37" s="3" t="s">
        <v>833</v>
      </c>
      <c r="M37" s="3"/>
      <c r="N37" s="3"/>
      <c r="O37" s="1" t="s">
        <v>65</v>
      </c>
      <c r="S37" s="18"/>
      <c r="T37" s="18"/>
    </row>
    <row r="38">
      <c r="A38" s="3" t="s">
        <v>540</v>
      </c>
      <c r="B38" s="3" t="s">
        <v>391</v>
      </c>
      <c r="C38" s="3" t="s">
        <v>541</v>
      </c>
      <c r="D38" s="3" t="s">
        <v>325</v>
      </c>
      <c r="E38" s="8" t="s">
        <v>51</v>
      </c>
      <c r="F38" s="7">
        <v>43773.0</v>
      </c>
      <c r="G38" s="3" t="s">
        <v>393</v>
      </c>
      <c r="H38" s="20">
        <v>2.97E7</v>
      </c>
      <c r="I38" s="20">
        <v>1.03E7</v>
      </c>
      <c r="J38" s="3" t="s">
        <v>72</v>
      </c>
      <c r="K38" s="3">
        <v>177.0</v>
      </c>
      <c r="L38" s="3" t="s">
        <v>514</v>
      </c>
      <c r="M38" s="3">
        <v>2012.0</v>
      </c>
      <c r="N38" s="23" t="s">
        <v>840</v>
      </c>
      <c r="S38" s="21"/>
      <c r="T38" s="18"/>
    </row>
    <row r="39">
      <c r="A39" s="3" t="s">
        <v>544</v>
      </c>
      <c r="B39" s="3" t="s">
        <v>59</v>
      </c>
      <c r="C39" s="3" t="s">
        <v>545</v>
      </c>
      <c r="D39" s="3" t="s">
        <v>46</v>
      </c>
      <c r="E39" s="8" t="s">
        <v>51</v>
      </c>
      <c r="F39" s="7">
        <v>45379.0</v>
      </c>
      <c r="G39" s="3" t="s">
        <v>59</v>
      </c>
      <c r="H39" s="20">
        <v>2.01E7</v>
      </c>
      <c r="I39" s="20">
        <v>1.0E7</v>
      </c>
      <c r="J39" s="3" t="s">
        <v>106</v>
      </c>
      <c r="K39" s="3"/>
      <c r="L39" s="3" t="s">
        <v>538</v>
      </c>
      <c r="M39" s="3">
        <v>2023.0</v>
      </c>
      <c r="N39" s="23" t="s">
        <v>855</v>
      </c>
      <c r="S39" s="21"/>
      <c r="T39" s="18"/>
    </row>
    <row r="40">
      <c r="A40" s="3" t="s">
        <v>547</v>
      </c>
      <c r="B40" s="3" t="s">
        <v>76</v>
      </c>
      <c r="C40" s="3" t="s">
        <v>548</v>
      </c>
      <c r="D40" s="3" t="s">
        <v>46</v>
      </c>
      <c r="E40" s="8" t="s">
        <v>51</v>
      </c>
      <c r="F40" s="7">
        <v>44656.0</v>
      </c>
      <c r="G40" s="3" t="s">
        <v>84</v>
      </c>
      <c r="H40" s="20">
        <v>1.22E7</v>
      </c>
      <c r="I40" s="20">
        <v>1.0E7</v>
      </c>
      <c r="J40" s="3" t="s">
        <v>72</v>
      </c>
      <c r="K40" s="3">
        <v>68.0</v>
      </c>
      <c r="L40" s="3" t="s">
        <v>538</v>
      </c>
      <c r="M40" s="3">
        <v>2020.0</v>
      </c>
      <c r="N40" s="23" t="s">
        <v>870</v>
      </c>
      <c r="S40" s="21"/>
      <c r="T40" s="18"/>
    </row>
    <row r="41">
      <c r="A41" s="3" t="s">
        <v>551</v>
      </c>
      <c r="B41" s="3" t="s">
        <v>38</v>
      </c>
      <c r="C41" s="3" t="s">
        <v>552</v>
      </c>
      <c r="D41" s="3" t="s">
        <v>261</v>
      </c>
      <c r="E41" s="8" t="s">
        <v>51</v>
      </c>
      <c r="F41" s="7">
        <v>45229.0</v>
      </c>
      <c r="G41" s="3" t="s">
        <v>68</v>
      </c>
      <c r="H41" s="20">
        <v>3.05E7</v>
      </c>
      <c r="I41" s="20">
        <v>1.0E7</v>
      </c>
      <c r="J41" s="3" t="s">
        <v>72</v>
      </c>
      <c r="K41" s="3"/>
      <c r="L41" s="3" t="s">
        <v>514</v>
      </c>
      <c r="M41" s="3"/>
      <c r="N41" s="3"/>
      <c r="O41" s="1" t="s">
        <v>65</v>
      </c>
      <c r="S41" s="21"/>
      <c r="T41" s="18"/>
    </row>
    <row r="42">
      <c r="A42" s="3" t="s">
        <v>556</v>
      </c>
      <c r="B42" s="3" t="s">
        <v>38</v>
      </c>
      <c r="C42" s="3" t="s">
        <v>557</v>
      </c>
      <c r="D42" s="3" t="s">
        <v>46</v>
      </c>
      <c r="E42" s="8" t="s">
        <v>51</v>
      </c>
      <c r="F42" s="7">
        <v>45483.0</v>
      </c>
      <c r="G42" s="3" t="s">
        <v>68</v>
      </c>
      <c r="H42" s="20">
        <v>1.0E7</v>
      </c>
      <c r="I42" s="20">
        <v>1.0E7</v>
      </c>
      <c r="J42" s="3" t="s">
        <v>172</v>
      </c>
      <c r="K42" s="3">
        <v>191.0</v>
      </c>
      <c r="L42" s="3" t="s">
        <v>514</v>
      </c>
      <c r="M42" s="3">
        <v>2017.0</v>
      </c>
      <c r="N42" s="23" t="s">
        <v>883</v>
      </c>
      <c r="S42" s="21"/>
      <c r="T42" s="18"/>
    </row>
    <row r="43">
      <c r="A43" s="3" t="s">
        <v>559</v>
      </c>
      <c r="B43" s="3" t="s">
        <v>289</v>
      </c>
      <c r="C43" s="3" t="s">
        <v>560</v>
      </c>
      <c r="D43" s="3" t="s">
        <v>46</v>
      </c>
      <c r="E43" s="8" t="s">
        <v>51</v>
      </c>
      <c r="F43" s="7">
        <v>45485.0</v>
      </c>
      <c r="G43" s="3" t="s">
        <v>84</v>
      </c>
      <c r="H43" s="20">
        <v>1.96E7</v>
      </c>
      <c r="I43" s="20">
        <v>1.21E7</v>
      </c>
      <c r="J43" s="3" t="s">
        <v>172</v>
      </c>
      <c r="K43" s="3"/>
      <c r="L43" s="3" t="s">
        <v>514</v>
      </c>
      <c r="M43" s="3">
        <v>2016.0</v>
      </c>
      <c r="N43" s="23" t="s">
        <v>895</v>
      </c>
      <c r="S43" s="21"/>
      <c r="T43" s="18"/>
    </row>
    <row r="44">
      <c r="A44" s="3" t="s">
        <v>564</v>
      </c>
      <c r="B44" s="3" t="s">
        <v>565</v>
      </c>
      <c r="C44" s="3" t="s">
        <v>566</v>
      </c>
      <c r="D44" s="3" t="s">
        <v>567</v>
      </c>
      <c r="E44" s="8" t="s">
        <v>51</v>
      </c>
      <c r="F44" s="7">
        <v>44756.0</v>
      </c>
      <c r="G44" s="3" t="s">
        <v>393</v>
      </c>
      <c r="H44" s="20">
        <v>1.491E8</v>
      </c>
      <c r="I44" s="20">
        <v>1.5E7</v>
      </c>
      <c r="J44" s="3" t="s">
        <v>72</v>
      </c>
      <c r="K44" s="3"/>
      <c r="L44" s="3" t="s">
        <v>905</v>
      </c>
      <c r="M44" s="3"/>
      <c r="N44" s="3"/>
      <c r="O44" s="1" t="s">
        <v>65</v>
      </c>
      <c r="S44" s="21"/>
      <c r="T44" s="18"/>
    </row>
    <row r="45">
      <c r="A45" s="3" t="s">
        <v>570</v>
      </c>
      <c r="B45" s="3" t="s">
        <v>76</v>
      </c>
      <c r="C45" s="3" t="s">
        <v>571</v>
      </c>
      <c r="D45" s="3" t="s">
        <v>46</v>
      </c>
      <c r="E45" s="8" t="s">
        <v>51</v>
      </c>
      <c r="F45" s="7">
        <v>44510.0</v>
      </c>
      <c r="G45" s="3" t="s">
        <v>84</v>
      </c>
      <c r="H45" s="20">
        <v>1.5E7</v>
      </c>
      <c r="I45" s="20">
        <v>1.5E7</v>
      </c>
      <c r="J45" s="3" t="s">
        <v>72</v>
      </c>
      <c r="K45" s="3">
        <v>176.0</v>
      </c>
      <c r="L45" s="3" t="s">
        <v>514</v>
      </c>
      <c r="M45" s="3">
        <v>2018.0</v>
      </c>
      <c r="N45" s="23" t="s">
        <v>909</v>
      </c>
      <c r="S45" s="21"/>
      <c r="T45" s="18"/>
    </row>
    <row r="46">
      <c r="A46" s="3" t="s">
        <v>573</v>
      </c>
      <c r="B46" s="3" t="s">
        <v>76</v>
      </c>
      <c r="C46" s="3" t="s">
        <v>574</v>
      </c>
      <c r="D46" s="3" t="s">
        <v>46</v>
      </c>
      <c r="E46" s="8" t="s">
        <v>51</v>
      </c>
      <c r="F46" s="7">
        <v>44091.0</v>
      </c>
      <c r="G46" s="3" t="s">
        <v>84</v>
      </c>
      <c r="H46" s="20">
        <v>2.0E7</v>
      </c>
      <c r="I46" s="20">
        <v>1.5E7</v>
      </c>
      <c r="J46" s="3" t="s">
        <v>72</v>
      </c>
      <c r="K46" s="3">
        <v>141.0</v>
      </c>
      <c r="L46" s="3" t="s">
        <v>514</v>
      </c>
      <c r="M46" s="3">
        <v>2016.0</v>
      </c>
      <c r="N46" s="23" t="s">
        <v>917</v>
      </c>
      <c r="S46" s="21"/>
      <c r="T46" s="18"/>
    </row>
    <row r="47">
      <c r="A47" s="3" t="s">
        <v>577</v>
      </c>
      <c r="B47" s="3" t="s">
        <v>59</v>
      </c>
      <c r="C47" s="3" t="s">
        <v>578</v>
      </c>
      <c r="D47" s="3" t="s">
        <v>46</v>
      </c>
      <c r="E47" s="8" t="s">
        <v>51</v>
      </c>
      <c r="F47" s="7">
        <v>45839.0</v>
      </c>
      <c r="G47" s="3" t="s">
        <v>59</v>
      </c>
      <c r="H47" s="20">
        <v>2100000.0</v>
      </c>
      <c r="I47" s="20">
        <v>2100000.0</v>
      </c>
      <c r="J47" s="3" t="s">
        <v>72</v>
      </c>
      <c r="K47" s="3"/>
      <c r="L47" s="3" t="s">
        <v>496</v>
      </c>
      <c r="M47" s="3"/>
      <c r="N47" s="3"/>
      <c r="O47" s="1" t="s">
        <v>65</v>
      </c>
      <c r="S47" s="21"/>
      <c r="T47" s="18"/>
    </row>
    <row r="48">
      <c r="A48" s="23" t="s">
        <v>581</v>
      </c>
      <c r="B48" s="3" t="s">
        <v>59</v>
      </c>
      <c r="C48" s="3" t="s">
        <v>587</v>
      </c>
      <c r="D48" s="3" t="s">
        <v>188</v>
      </c>
      <c r="E48" s="8" t="s">
        <v>51</v>
      </c>
      <c r="F48" s="7">
        <v>45300.0</v>
      </c>
      <c r="G48" s="3" t="s">
        <v>59</v>
      </c>
      <c r="H48" s="20">
        <v>2700000.0</v>
      </c>
      <c r="I48" s="20">
        <v>2200000.0</v>
      </c>
      <c r="J48" s="3" t="s">
        <v>72</v>
      </c>
      <c r="K48" s="3"/>
      <c r="L48" s="3" t="s">
        <v>496</v>
      </c>
      <c r="M48" s="3"/>
      <c r="N48" s="3"/>
      <c r="O48" s="1" t="s">
        <v>65</v>
      </c>
      <c r="S48" s="21"/>
      <c r="T48" s="18"/>
    </row>
    <row r="49">
      <c r="A49" s="3" t="s">
        <v>590</v>
      </c>
      <c r="B49" s="3" t="s">
        <v>59</v>
      </c>
      <c r="C49" s="3" t="s">
        <v>591</v>
      </c>
      <c r="D49" s="3" t="s">
        <v>46</v>
      </c>
      <c r="E49" s="8" t="s">
        <v>51</v>
      </c>
      <c r="F49" s="7">
        <v>45015.0</v>
      </c>
      <c r="G49" s="3" t="s">
        <v>59</v>
      </c>
      <c r="H49" s="20">
        <v>2500000.0</v>
      </c>
      <c r="I49" s="20">
        <v>2500000.0</v>
      </c>
      <c r="J49" s="3" t="s">
        <v>72</v>
      </c>
      <c r="K49" s="3">
        <v>17.0</v>
      </c>
      <c r="L49" s="3" t="s">
        <v>496</v>
      </c>
      <c r="M49" s="3">
        <v>2022.0</v>
      </c>
      <c r="N49" s="23" t="s">
        <v>934</v>
      </c>
      <c r="S49" s="21"/>
      <c r="T49" s="18"/>
    </row>
    <row r="50">
      <c r="A50" s="23" t="s">
        <v>594</v>
      </c>
      <c r="B50" s="3" t="s">
        <v>59</v>
      </c>
      <c r="C50" s="3" t="s">
        <v>596</v>
      </c>
      <c r="D50" s="3" t="s">
        <v>46</v>
      </c>
      <c r="E50" s="8" t="s">
        <v>51</v>
      </c>
      <c r="F50" s="7">
        <v>45363.0</v>
      </c>
      <c r="G50" s="3" t="s">
        <v>59</v>
      </c>
      <c r="H50" s="20">
        <v>2500000.0</v>
      </c>
      <c r="I50" s="20">
        <v>2500000.0</v>
      </c>
      <c r="J50" s="3" t="s">
        <v>72</v>
      </c>
      <c r="K50" s="3">
        <v>68.0</v>
      </c>
      <c r="L50" s="3" t="s">
        <v>538</v>
      </c>
      <c r="M50" s="3">
        <v>2021.0</v>
      </c>
      <c r="N50" s="23" t="s">
        <v>945</v>
      </c>
      <c r="S50" s="21"/>
      <c r="T50" s="18"/>
    </row>
    <row r="51">
      <c r="A51" s="3" t="s">
        <v>599</v>
      </c>
      <c r="B51" s="3" t="s">
        <v>289</v>
      </c>
      <c r="C51" s="3" t="s">
        <v>600</v>
      </c>
      <c r="D51" s="3" t="s">
        <v>46</v>
      </c>
      <c r="E51" s="8" t="s">
        <v>51</v>
      </c>
      <c r="F51" s="7">
        <v>44312.0</v>
      </c>
      <c r="G51" s="3" t="s">
        <v>84</v>
      </c>
      <c r="H51" s="20">
        <v>3.17E7</v>
      </c>
      <c r="I51" s="20">
        <v>2.0E7</v>
      </c>
      <c r="J51" s="3" t="s">
        <v>72</v>
      </c>
      <c r="K51" s="3"/>
      <c r="L51" s="3" t="s">
        <v>514</v>
      </c>
      <c r="M51" s="3"/>
      <c r="N51" s="3"/>
      <c r="O51" s="1" t="s">
        <v>65</v>
      </c>
      <c r="S51" s="21"/>
      <c r="T51" s="18"/>
    </row>
    <row r="52">
      <c r="A52" s="3" t="s">
        <v>603</v>
      </c>
      <c r="B52" s="3" t="s">
        <v>76</v>
      </c>
      <c r="C52" s="3" t="s">
        <v>604</v>
      </c>
      <c r="D52" s="3" t="s">
        <v>46</v>
      </c>
      <c r="E52" s="8" t="s">
        <v>51</v>
      </c>
      <c r="F52" s="7">
        <v>43229.0</v>
      </c>
      <c r="G52" s="3" t="s">
        <v>84</v>
      </c>
      <c r="H52" s="20">
        <v>2.0E7</v>
      </c>
      <c r="I52" s="20">
        <v>2.0E7</v>
      </c>
      <c r="J52" s="3" t="s">
        <v>72</v>
      </c>
      <c r="K52" s="3">
        <v>29.0</v>
      </c>
      <c r="L52" s="3" t="s">
        <v>496</v>
      </c>
      <c r="M52" s="3">
        <v>2018.0</v>
      </c>
      <c r="N52" s="23" t="s">
        <v>960</v>
      </c>
      <c r="S52" s="21"/>
      <c r="T52" s="18"/>
    </row>
    <row r="53">
      <c r="A53" s="3" t="s">
        <v>607</v>
      </c>
      <c r="B53" s="3" t="s">
        <v>76</v>
      </c>
      <c r="C53" s="3" t="s">
        <v>541</v>
      </c>
      <c r="D53" s="3" t="s">
        <v>46</v>
      </c>
      <c r="E53" s="8" t="s">
        <v>51</v>
      </c>
      <c r="F53" s="7">
        <v>45385.0</v>
      </c>
      <c r="G53" s="3" t="s">
        <v>84</v>
      </c>
      <c r="H53" s="20">
        <v>2.25E7</v>
      </c>
      <c r="I53" s="20">
        <v>2.25E7</v>
      </c>
      <c r="J53" s="3" t="s">
        <v>72</v>
      </c>
      <c r="K53" s="3"/>
      <c r="L53" s="3" t="s">
        <v>514</v>
      </c>
      <c r="M53" s="3"/>
      <c r="N53" s="3"/>
      <c r="O53" s="1" t="s">
        <v>65</v>
      </c>
      <c r="S53" s="21"/>
      <c r="T53" s="18"/>
    </row>
    <row r="54">
      <c r="A54" s="3" t="s">
        <v>610</v>
      </c>
      <c r="B54" s="3" t="s">
        <v>59</v>
      </c>
      <c r="C54" s="3" t="s">
        <v>611</v>
      </c>
      <c r="D54" s="3" t="s">
        <v>612</v>
      </c>
      <c r="E54" s="8" t="s">
        <v>51</v>
      </c>
      <c r="F54" s="7">
        <v>44944.0</v>
      </c>
      <c r="G54" s="3" t="s">
        <v>59</v>
      </c>
      <c r="H54" s="20">
        <v>3700000.0</v>
      </c>
      <c r="I54" s="20">
        <v>3600000.0</v>
      </c>
      <c r="J54" s="3" t="s">
        <v>72</v>
      </c>
      <c r="K54" s="3">
        <v>3.0</v>
      </c>
      <c r="L54" s="3" t="s">
        <v>496</v>
      </c>
      <c r="M54" s="3">
        <v>2020.0</v>
      </c>
      <c r="N54" s="23" t="s">
        <v>973</v>
      </c>
      <c r="S54" s="21"/>
      <c r="T54" s="18"/>
    </row>
    <row r="55">
      <c r="A55" s="3" t="s">
        <v>617</v>
      </c>
      <c r="B55" s="3" t="s">
        <v>59</v>
      </c>
      <c r="C55" s="3" t="s">
        <v>618</v>
      </c>
      <c r="D55" s="3" t="s">
        <v>261</v>
      </c>
      <c r="E55" s="8" t="s">
        <v>51</v>
      </c>
      <c r="F55" s="7">
        <v>45740.0</v>
      </c>
      <c r="G55" s="3" t="s">
        <v>59</v>
      </c>
      <c r="H55" s="20">
        <v>3200000.0</v>
      </c>
      <c r="I55" s="20">
        <v>3000000.0</v>
      </c>
      <c r="J55" s="3" t="s">
        <v>172</v>
      </c>
      <c r="K55" s="3">
        <v>27.0</v>
      </c>
      <c r="L55" s="3" t="s">
        <v>496</v>
      </c>
      <c r="M55" s="3">
        <v>2023.0</v>
      </c>
      <c r="N55" s="23" t="s">
        <v>984</v>
      </c>
      <c r="S55" s="21"/>
      <c r="T55" s="18"/>
    </row>
    <row r="56">
      <c r="A56" s="3" t="s">
        <v>621</v>
      </c>
      <c r="B56" s="3" t="s">
        <v>76</v>
      </c>
      <c r="C56" s="3" t="s">
        <v>622</v>
      </c>
      <c r="D56" s="3" t="s">
        <v>46</v>
      </c>
      <c r="E56" s="8" t="s">
        <v>51</v>
      </c>
      <c r="F56" s="7">
        <v>44364.0</v>
      </c>
      <c r="G56" s="3" t="s">
        <v>84</v>
      </c>
      <c r="H56" s="20">
        <v>1.1E7</v>
      </c>
      <c r="I56" s="20">
        <v>4500000.0</v>
      </c>
      <c r="J56" s="3" t="s">
        <v>72</v>
      </c>
      <c r="K56" s="3">
        <v>312.0</v>
      </c>
      <c r="L56" s="3" t="s">
        <v>905</v>
      </c>
      <c r="M56" s="3">
        <v>2017.0</v>
      </c>
      <c r="N56" s="23" t="s">
        <v>993</v>
      </c>
      <c r="S56" s="21"/>
      <c r="T56" s="18"/>
    </row>
    <row r="57">
      <c r="A57" s="3" t="s">
        <v>628</v>
      </c>
      <c r="B57" s="3" t="s">
        <v>38</v>
      </c>
      <c r="C57" s="3" t="s">
        <v>629</v>
      </c>
      <c r="D57" s="3" t="s">
        <v>630</v>
      </c>
      <c r="E57" s="8" t="s">
        <v>51</v>
      </c>
      <c r="F57" s="7">
        <v>43069.0</v>
      </c>
      <c r="G57" s="3" t="s">
        <v>68</v>
      </c>
      <c r="H57" s="20">
        <v>8800000.0</v>
      </c>
      <c r="I57" s="20">
        <v>4800000.0</v>
      </c>
      <c r="J57" s="3" t="s">
        <v>72</v>
      </c>
      <c r="K57" s="3">
        <v>458.0</v>
      </c>
      <c r="L57" s="3" t="s">
        <v>905</v>
      </c>
      <c r="M57" s="3">
        <v>2012.0</v>
      </c>
      <c r="N57" s="23" t="s">
        <v>1003</v>
      </c>
      <c r="S57" s="21"/>
      <c r="T57" s="18"/>
    </row>
    <row r="58">
      <c r="A58" s="3" t="s">
        <v>634</v>
      </c>
      <c r="B58" s="3" t="s">
        <v>76</v>
      </c>
      <c r="C58" s="3" t="s">
        <v>635</v>
      </c>
      <c r="D58" s="3" t="s">
        <v>46</v>
      </c>
      <c r="E58" s="8" t="s">
        <v>51</v>
      </c>
      <c r="F58" s="7">
        <v>45825.0</v>
      </c>
      <c r="G58" s="3" t="s">
        <v>84</v>
      </c>
      <c r="H58" s="20">
        <v>6000000.0</v>
      </c>
      <c r="I58" s="20">
        <v>5500000.0</v>
      </c>
      <c r="J58" s="3" t="s">
        <v>172</v>
      </c>
      <c r="K58" s="3">
        <v>265.0</v>
      </c>
      <c r="L58" s="3" t="s">
        <v>905</v>
      </c>
      <c r="M58" s="3">
        <v>2018.0</v>
      </c>
      <c r="N58" s="23" t="s">
        <v>1015</v>
      </c>
      <c r="S58" s="21"/>
      <c r="T58" s="18"/>
    </row>
    <row r="59">
      <c r="A59" s="3" t="s">
        <v>639</v>
      </c>
      <c r="B59" s="3" t="s">
        <v>38</v>
      </c>
      <c r="C59" s="3" t="s">
        <v>640</v>
      </c>
      <c r="D59" s="3" t="s">
        <v>46</v>
      </c>
      <c r="E59" s="8" t="s">
        <v>51</v>
      </c>
      <c r="F59" s="7">
        <v>44622.0</v>
      </c>
      <c r="G59" s="3" t="s">
        <v>68</v>
      </c>
      <c r="H59" s="20">
        <v>2.46E7</v>
      </c>
      <c r="I59" s="20">
        <v>5800000.0</v>
      </c>
      <c r="J59" s="3" t="s">
        <v>72</v>
      </c>
      <c r="K59" s="3"/>
      <c r="L59" s="3" t="s">
        <v>538</v>
      </c>
      <c r="M59" s="3"/>
      <c r="N59" s="3"/>
      <c r="O59" s="1" t="s">
        <v>65</v>
      </c>
      <c r="S59" s="21"/>
      <c r="T59" s="18"/>
    </row>
    <row r="60">
      <c r="A60" s="3" t="s">
        <v>643</v>
      </c>
      <c r="B60" s="3" t="s">
        <v>59</v>
      </c>
      <c r="C60" s="3" t="s">
        <v>644</v>
      </c>
      <c r="D60" s="3" t="s">
        <v>46</v>
      </c>
      <c r="E60" s="8" t="s">
        <v>51</v>
      </c>
      <c r="F60" s="7">
        <v>45020.0</v>
      </c>
      <c r="G60" s="3" t="s">
        <v>59</v>
      </c>
      <c r="H60" s="20">
        <v>5000000.0</v>
      </c>
      <c r="I60" s="20">
        <v>5000000.0</v>
      </c>
      <c r="J60" s="3" t="s">
        <v>72</v>
      </c>
      <c r="K60" s="3"/>
      <c r="L60" s="3" t="s">
        <v>496</v>
      </c>
      <c r="M60" s="3"/>
      <c r="N60" s="3"/>
      <c r="O60" s="1" t="s">
        <v>65</v>
      </c>
      <c r="S60" s="21"/>
      <c r="T60" s="18"/>
    </row>
    <row r="61">
      <c r="A61" s="3" t="s">
        <v>646</v>
      </c>
      <c r="B61" s="3" t="s">
        <v>38</v>
      </c>
      <c r="C61" s="3" t="s">
        <v>647</v>
      </c>
      <c r="D61" s="3" t="s">
        <v>46</v>
      </c>
      <c r="E61" s="8" t="s">
        <v>51</v>
      </c>
      <c r="F61" s="7">
        <v>44616.0</v>
      </c>
      <c r="G61" s="3" t="s">
        <v>68</v>
      </c>
      <c r="H61" s="20">
        <v>1.43E7</v>
      </c>
      <c r="I61" s="20">
        <v>6000000.0</v>
      </c>
      <c r="J61" s="3" t="s">
        <v>72</v>
      </c>
      <c r="K61" s="3">
        <v>12.0</v>
      </c>
      <c r="L61" s="3" t="s">
        <v>496</v>
      </c>
      <c r="M61" s="3">
        <v>2019.0</v>
      </c>
      <c r="N61" s="3"/>
      <c r="O61" s="1" t="s">
        <v>65</v>
      </c>
      <c r="S61" s="21"/>
      <c r="T61" s="18"/>
    </row>
    <row r="62">
      <c r="A62" s="3" t="s">
        <v>653</v>
      </c>
      <c r="B62" s="3" t="s">
        <v>59</v>
      </c>
      <c r="C62" s="3" t="s">
        <v>472</v>
      </c>
      <c r="D62" s="3" t="s">
        <v>46</v>
      </c>
      <c r="E62" s="8" t="s">
        <v>51</v>
      </c>
      <c r="F62" s="7">
        <v>45254.0</v>
      </c>
      <c r="G62" s="3" t="s">
        <v>59</v>
      </c>
      <c r="H62" s="20">
        <v>1.03E7</v>
      </c>
      <c r="I62" s="20">
        <v>6000000.0</v>
      </c>
      <c r="J62" s="3" t="s">
        <v>172</v>
      </c>
      <c r="K62" s="3">
        <v>37.0</v>
      </c>
      <c r="L62" s="3" t="s">
        <v>538</v>
      </c>
      <c r="M62" s="3">
        <v>2021.0</v>
      </c>
      <c r="N62" s="23" t="s">
        <v>1033</v>
      </c>
      <c r="S62" s="21"/>
      <c r="T62" s="18"/>
    </row>
    <row r="63">
      <c r="A63" s="3" t="s">
        <v>656</v>
      </c>
      <c r="B63" s="3" t="s">
        <v>59</v>
      </c>
      <c r="C63" s="3" t="s">
        <v>657</v>
      </c>
      <c r="D63" s="3" t="s">
        <v>658</v>
      </c>
      <c r="E63" s="8" t="s">
        <v>51</v>
      </c>
      <c r="F63" s="7">
        <v>45467.0</v>
      </c>
      <c r="G63" s="3" t="s">
        <v>59</v>
      </c>
      <c r="H63" s="20">
        <v>1611770.0</v>
      </c>
      <c r="I63" s="20">
        <v>1000000.0</v>
      </c>
      <c r="J63" s="3" t="s">
        <v>72</v>
      </c>
      <c r="K63" s="3">
        <v>178.0</v>
      </c>
      <c r="L63" s="3" t="s">
        <v>514</v>
      </c>
      <c r="M63" s="3">
        <v>2021.0</v>
      </c>
      <c r="N63" s="23" t="s">
        <v>1045</v>
      </c>
      <c r="S63" s="21"/>
      <c r="T63" s="21"/>
    </row>
    <row r="64">
      <c r="A64" s="3" t="s">
        <v>662</v>
      </c>
      <c r="B64" s="3" t="s">
        <v>38</v>
      </c>
      <c r="C64" s="3" t="s">
        <v>664</v>
      </c>
      <c r="D64" s="3" t="s">
        <v>46</v>
      </c>
      <c r="E64" s="8" t="s">
        <v>51</v>
      </c>
      <c r="F64" s="7">
        <v>45632.0</v>
      </c>
      <c r="G64" s="3" t="s">
        <v>68</v>
      </c>
      <c r="H64" s="20">
        <v>5600000.0</v>
      </c>
      <c r="I64" s="20">
        <v>1000000.0</v>
      </c>
      <c r="J64" s="3" t="s">
        <v>172</v>
      </c>
      <c r="K64" s="3">
        <v>60.0</v>
      </c>
      <c r="L64" s="3" t="s">
        <v>538</v>
      </c>
      <c r="M64" s="3">
        <v>2019.0</v>
      </c>
      <c r="N64" s="23" t="s">
        <v>874</v>
      </c>
      <c r="S64" s="21"/>
      <c r="T64" s="21"/>
    </row>
    <row r="65">
      <c r="A65" s="3" t="s">
        <v>668</v>
      </c>
      <c r="B65" s="3" t="s">
        <v>76</v>
      </c>
      <c r="C65" s="3" t="s">
        <v>669</v>
      </c>
      <c r="D65" s="3" t="s">
        <v>46</v>
      </c>
      <c r="E65" s="8" t="s">
        <v>51</v>
      </c>
      <c r="F65" s="7">
        <v>45981.0</v>
      </c>
      <c r="G65" s="3" t="s">
        <v>670</v>
      </c>
      <c r="H65" s="20">
        <v>1.6547191E7</v>
      </c>
      <c r="I65" s="20">
        <v>1000000.0</v>
      </c>
      <c r="J65" s="3" t="s">
        <v>672</v>
      </c>
      <c r="K65" s="3">
        <v>68.0</v>
      </c>
      <c r="L65" s="3" t="s">
        <v>538</v>
      </c>
      <c r="M65" s="3">
        <v>2020.0</v>
      </c>
      <c r="N65" s="23" t="s">
        <v>1062</v>
      </c>
      <c r="S65" s="21"/>
      <c r="T65" s="21"/>
    </row>
    <row r="66">
      <c r="A66" s="3" t="s">
        <v>673</v>
      </c>
      <c r="B66" s="3" t="s">
        <v>59</v>
      </c>
      <c r="C66" s="3" t="s">
        <v>674</v>
      </c>
      <c r="D66" s="3" t="s">
        <v>675</v>
      </c>
      <c r="E66" s="8" t="s">
        <v>52</v>
      </c>
      <c r="F66" s="7">
        <v>45352.0</v>
      </c>
      <c r="G66" s="3" t="s">
        <v>59</v>
      </c>
      <c r="H66" s="20">
        <v>1300000.0</v>
      </c>
      <c r="I66" s="20">
        <v>1000000.0</v>
      </c>
      <c r="J66" s="3" t="s">
        <v>672</v>
      </c>
      <c r="K66" s="3"/>
      <c r="L66" s="3" t="s">
        <v>496</v>
      </c>
      <c r="M66" s="3">
        <v>2023.0</v>
      </c>
      <c r="N66" s="23" t="s">
        <v>891</v>
      </c>
      <c r="S66" s="21"/>
      <c r="T66" s="21"/>
    </row>
    <row r="67">
      <c r="A67" s="3" t="s">
        <v>677</v>
      </c>
      <c r="B67" s="3" t="s">
        <v>59</v>
      </c>
      <c r="C67" s="3" t="s">
        <v>679</v>
      </c>
      <c r="D67" s="3" t="s">
        <v>680</v>
      </c>
      <c r="E67" s="8" t="s">
        <v>52</v>
      </c>
      <c r="F67" s="7">
        <v>44197.0</v>
      </c>
      <c r="G67" s="3" t="s">
        <v>59</v>
      </c>
      <c r="H67" s="20">
        <v>1000000.0</v>
      </c>
      <c r="I67" s="20">
        <v>1000000.0</v>
      </c>
      <c r="J67" s="3" t="s">
        <v>672</v>
      </c>
      <c r="K67" s="3"/>
      <c r="L67" s="3" t="s">
        <v>538</v>
      </c>
      <c r="M67" s="3">
        <v>2019.0</v>
      </c>
      <c r="N67" s="23" t="s">
        <v>898</v>
      </c>
      <c r="S67" s="21"/>
      <c r="T67" s="21"/>
    </row>
    <row r="68">
      <c r="A68" s="3" t="s">
        <v>684</v>
      </c>
      <c r="B68" s="3" t="s">
        <v>685</v>
      </c>
      <c r="C68" s="3" t="s">
        <v>686</v>
      </c>
      <c r="D68" s="3" t="s">
        <v>46</v>
      </c>
      <c r="E68" s="8" t="s">
        <v>51</v>
      </c>
      <c r="F68" s="7">
        <v>45715.0</v>
      </c>
      <c r="G68" s="3" t="s">
        <v>167</v>
      </c>
      <c r="H68" s="20">
        <v>1.0E9</v>
      </c>
      <c r="I68" s="20">
        <v>1.0E9</v>
      </c>
      <c r="J68" s="3" t="s">
        <v>672</v>
      </c>
      <c r="K68" s="3"/>
      <c r="L68" s="3" t="s">
        <v>833</v>
      </c>
      <c r="M68" s="3"/>
      <c r="N68" s="3"/>
      <c r="O68" s="1" t="s">
        <v>65</v>
      </c>
      <c r="S68" s="18"/>
      <c r="T68" s="21"/>
    </row>
    <row r="69">
      <c r="A69" s="3" t="s">
        <v>689</v>
      </c>
      <c r="B69" s="3" t="s">
        <v>59</v>
      </c>
      <c r="C69" s="3" t="s">
        <v>690</v>
      </c>
      <c r="D69" s="3" t="s">
        <v>66</v>
      </c>
      <c r="E69" s="8" t="s">
        <v>52</v>
      </c>
      <c r="F69" s="7">
        <v>44501.0</v>
      </c>
      <c r="G69" s="3" t="s">
        <v>59</v>
      </c>
      <c r="H69" s="20">
        <v>3298430.0</v>
      </c>
      <c r="I69" s="20">
        <v>1043455.0</v>
      </c>
      <c r="J69" s="3" t="s">
        <v>72</v>
      </c>
      <c r="K69" s="3"/>
      <c r="L69" s="3" t="s">
        <v>496</v>
      </c>
      <c r="M69" s="3">
        <v>2018.0</v>
      </c>
      <c r="N69" s="23" t="s">
        <v>820</v>
      </c>
      <c r="S69" s="21"/>
      <c r="T69" s="21"/>
    </row>
    <row r="70">
      <c r="A70" s="3" t="s">
        <v>693</v>
      </c>
      <c r="B70" s="3" t="s">
        <v>38</v>
      </c>
      <c r="C70" s="3" t="s">
        <v>694</v>
      </c>
      <c r="D70" s="3" t="s">
        <v>188</v>
      </c>
      <c r="E70" s="8" t="s">
        <v>51</v>
      </c>
      <c r="F70" s="7">
        <v>45355.0</v>
      </c>
      <c r="G70" s="3" t="s">
        <v>68</v>
      </c>
      <c r="H70" s="20">
        <v>1200000.0</v>
      </c>
      <c r="I70" s="20">
        <v>1200000.0</v>
      </c>
      <c r="J70" s="3" t="s">
        <v>672</v>
      </c>
      <c r="K70" s="3">
        <v>27.0</v>
      </c>
      <c r="L70" s="3" t="s">
        <v>496</v>
      </c>
      <c r="M70" s="3">
        <v>2017.0</v>
      </c>
      <c r="N70" s="23" t="s">
        <v>961</v>
      </c>
      <c r="S70" s="21"/>
      <c r="T70" s="21"/>
    </row>
    <row r="71">
      <c r="A71" s="3" t="s">
        <v>697</v>
      </c>
      <c r="B71" s="3" t="s">
        <v>59</v>
      </c>
      <c r="C71" s="3" t="s">
        <v>698</v>
      </c>
      <c r="D71" s="3" t="s">
        <v>171</v>
      </c>
      <c r="E71" s="8" t="s">
        <v>52</v>
      </c>
      <c r="F71" s="7">
        <v>44078.0</v>
      </c>
      <c r="G71" s="3" t="s">
        <v>59</v>
      </c>
      <c r="H71" s="20">
        <v>1250000.0</v>
      </c>
      <c r="I71" s="20">
        <v>1250000.0</v>
      </c>
      <c r="J71" s="3" t="s">
        <v>72</v>
      </c>
      <c r="K71" s="3"/>
      <c r="L71" s="3" t="s">
        <v>496</v>
      </c>
      <c r="M71" s="3">
        <v>2015.0</v>
      </c>
      <c r="N71" s="23" t="s">
        <v>967</v>
      </c>
      <c r="S71" s="21"/>
      <c r="T71" s="21"/>
    </row>
    <row r="72">
      <c r="A72" s="3" t="s">
        <v>700</v>
      </c>
      <c r="B72" s="3" t="s">
        <v>59</v>
      </c>
      <c r="C72" s="3" t="s">
        <v>701</v>
      </c>
      <c r="D72" s="3" t="s">
        <v>46</v>
      </c>
      <c r="E72" s="8" t="s">
        <v>51</v>
      </c>
      <c r="F72" s="7">
        <v>44754.0</v>
      </c>
      <c r="G72" s="3" t="s">
        <v>59</v>
      </c>
      <c r="H72" s="20">
        <v>1.45E7</v>
      </c>
      <c r="I72" s="20">
        <v>1500000.0</v>
      </c>
      <c r="J72" s="3" t="s">
        <v>672</v>
      </c>
      <c r="K72" s="3"/>
      <c r="L72" s="3" t="s">
        <v>496</v>
      </c>
      <c r="M72" s="3"/>
      <c r="N72" s="3"/>
      <c r="O72" s="1" t="s">
        <v>65</v>
      </c>
      <c r="S72" s="21"/>
      <c r="T72" s="21"/>
    </row>
    <row r="73">
      <c r="A73" s="3" t="s">
        <v>704</v>
      </c>
      <c r="B73" s="3" t="s">
        <v>38</v>
      </c>
      <c r="C73" s="3" t="s">
        <v>705</v>
      </c>
      <c r="D73" s="3" t="s">
        <v>66</v>
      </c>
      <c r="E73" s="8" t="s">
        <v>52</v>
      </c>
      <c r="F73" s="7">
        <v>39814.0</v>
      </c>
      <c r="G73" s="3" t="s">
        <v>68</v>
      </c>
      <c r="H73" s="20">
        <v>1500000.0</v>
      </c>
      <c r="I73" s="20">
        <v>1500000.0</v>
      </c>
      <c r="J73" s="3" t="s">
        <v>672</v>
      </c>
      <c r="K73" s="3"/>
      <c r="L73" s="3" t="s">
        <v>496</v>
      </c>
      <c r="M73" s="3"/>
      <c r="N73" s="23" t="s">
        <v>1103</v>
      </c>
      <c r="O73" s="1" t="s">
        <v>65</v>
      </c>
      <c r="S73" s="21"/>
      <c r="T73" s="21"/>
    </row>
    <row r="74">
      <c r="A74" s="3" t="s">
        <v>707</v>
      </c>
      <c r="B74" s="3" t="s">
        <v>59</v>
      </c>
      <c r="C74" s="3" t="s">
        <v>708</v>
      </c>
      <c r="D74" s="3" t="s">
        <v>710</v>
      </c>
      <c r="E74" s="8" t="s">
        <v>52</v>
      </c>
      <c r="F74" s="7">
        <v>44587.0</v>
      </c>
      <c r="G74" s="3" t="s">
        <v>59</v>
      </c>
      <c r="H74" s="20">
        <v>2100000.0</v>
      </c>
      <c r="I74" s="20">
        <v>1600000.0</v>
      </c>
      <c r="J74" s="3" t="s">
        <v>72</v>
      </c>
      <c r="K74" s="3"/>
      <c r="L74" s="3" t="s">
        <v>496</v>
      </c>
      <c r="M74" s="3"/>
      <c r="N74" s="3"/>
      <c r="O74" s="1" t="s">
        <v>65</v>
      </c>
      <c r="S74" s="21"/>
      <c r="T74" s="21"/>
    </row>
    <row r="75">
      <c r="A75" s="3" t="s">
        <v>713</v>
      </c>
      <c r="B75" s="3" t="s">
        <v>59</v>
      </c>
      <c r="C75" s="3" t="s">
        <v>714</v>
      </c>
      <c r="D75" s="3" t="s">
        <v>715</v>
      </c>
      <c r="E75" s="8" t="s">
        <v>52</v>
      </c>
      <c r="F75" s="7">
        <v>45954.0</v>
      </c>
      <c r="G75" s="3" t="s">
        <v>59</v>
      </c>
      <c r="H75" s="20">
        <v>1900000.0</v>
      </c>
      <c r="I75" s="20">
        <v>1900000.0</v>
      </c>
      <c r="J75" s="3" t="s">
        <v>172</v>
      </c>
      <c r="K75" s="3"/>
      <c r="L75" s="3" t="s">
        <v>496</v>
      </c>
      <c r="M75" s="3"/>
      <c r="N75" s="3"/>
      <c r="O75" s="1" t="s">
        <v>65</v>
      </c>
      <c r="S75" s="21"/>
      <c r="T75" s="21"/>
    </row>
    <row r="76">
      <c r="A76" s="3" t="s">
        <v>717</v>
      </c>
      <c r="B76" s="3" t="s">
        <v>59</v>
      </c>
      <c r="C76" s="3" t="s">
        <v>718</v>
      </c>
      <c r="D76" s="3" t="s">
        <v>66</v>
      </c>
      <c r="E76" s="8" t="s">
        <v>52</v>
      </c>
      <c r="F76" s="7">
        <v>45355.0</v>
      </c>
      <c r="G76" s="3" t="s">
        <v>59</v>
      </c>
      <c r="H76" s="20">
        <v>1950000.0</v>
      </c>
      <c r="I76" s="20">
        <v>1950000.0</v>
      </c>
      <c r="J76" s="3" t="s">
        <v>72</v>
      </c>
      <c r="K76" s="3">
        <v>23.0</v>
      </c>
      <c r="L76" s="3" t="s">
        <v>496</v>
      </c>
      <c r="M76" s="3">
        <v>2018.0</v>
      </c>
      <c r="N76" s="23" t="s">
        <v>1122</v>
      </c>
      <c r="S76" s="21"/>
      <c r="T76" s="21"/>
    </row>
    <row r="77">
      <c r="A77" s="3" t="s">
        <v>723</v>
      </c>
      <c r="B77" s="3" t="s">
        <v>289</v>
      </c>
      <c r="C77" s="3" t="s">
        <v>724</v>
      </c>
      <c r="D77" s="3" t="s">
        <v>46</v>
      </c>
      <c r="E77" s="8" t="s">
        <v>51</v>
      </c>
      <c r="F77" s="7">
        <v>45643.0</v>
      </c>
      <c r="G77" s="3" t="s">
        <v>670</v>
      </c>
      <c r="H77" s="20">
        <v>6.6231E7</v>
      </c>
      <c r="I77" s="20">
        <v>1.0E7</v>
      </c>
      <c r="J77" s="3" t="s">
        <v>172</v>
      </c>
      <c r="K77" s="3">
        <v>497.0</v>
      </c>
      <c r="L77" s="3" t="s">
        <v>905</v>
      </c>
      <c r="M77" s="3">
        <v>2018.0</v>
      </c>
      <c r="N77" s="23" t="s">
        <v>1132</v>
      </c>
      <c r="S77" s="21"/>
      <c r="T77" s="21"/>
    </row>
    <row r="78">
      <c r="A78" s="3" t="s">
        <v>727</v>
      </c>
      <c r="B78" s="3" t="s">
        <v>76</v>
      </c>
      <c r="C78" s="3" t="s">
        <v>728</v>
      </c>
      <c r="D78" s="3" t="s">
        <v>46</v>
      </c>
      <c r="E78" s="8" t="s">
        <v>51</v>
      </c>
      <c r="F78" s="7">
        <v>45988.0</v>
      </c>
      <c r="G78" s="3" t="s">
        <v>670</v>
      </c>
      <c r="H78" s="20">
        <v>5.642156E7</v>
      </c>
      <c r="I78" s="20">
        <v>1.0E7</v>
      </c>
      <c r="J78" s="3" t="s">
        <v>172</v>
      </c>
      <c r="K78" s="3">
        <v>641.0</v>
      </c>
      <c r="L78" s="3" t="s">
        <v>783</v>
      </c>
      <c r="M78" s="3">
        <v>2021.0</v>
      </c>
      <c r="N78" s="23" t="s">
        <v>1139</v>
      </c>
      <c r="S78" s="21"/>
      <c r="T78" s="21"/>
    </row>
    <row r="79">
      <c r="A79" s="3" t="s">
        <v>732</v>
      </c>
      <c r="B79" s="3" t="s">
        <v>391</v>
      </c>
      <c r="C79" s="3" t="s">
        <v>735</v>
      </c>
      <c r="D79" s="3" t="s">
        <v>46</v>
      </c>
      <c r="E79" s="8" t="s">
        <v>51</v>
      </c>
      <c r="F79" s="7">
        <v>45153.0</v>
      </c>
      <c r="G79" s="3" t="s">
        <v>736</v>
      </c>
      <c r="H79" s="20">
        <v>1.78601756E8</v>
      </c>
      <c r="I79" s="20">
        <v>1.0E7</v>
      </c>
      <c r="J79" s="3" t="s">
        <v>72</v>
      </c>
      <c r="K79" s="3">
        <v>1296.0</v>
      </c>
      <c r="L79" s="3" t="s">
        <v>1144</v>
      </c>
      <c r="M79" s="3">
        <v>2011.0</v>
      </c>
      <c r="N79" s="23" t="s">
        <v>1145</v>
      </c>
      <c r="S79" s="21"/>
      <c r="T79" s="21"/>
    </row>
    <row r="80">
      <c r="A80" s="3" t="s">
        <v>738</v>
      </c>
      <c r="B80" s="3" t="s">
        <v>38</v>
      </c>
      <c r="C80" s="3" t="s">
        <v>739</v>
      </c>
      <c r="D80" s="3" t="s">
        <v>46</v>
      </c>
      <c r="E80" s="8" t="s">
        <v>51</v>
      </c>
      <c r="F80" s="7">
        <v>45316.0</v>
      </c>
      <c r="G80" s="3" t="s">
        <v>68</v>
      </c>
      <c r="H80" s="20">
        <v>3.1005209E7</v>
      </c>
      <c r="I80" s="20">
        <v>1.0E7</v>
      </c>
      <c r="J80" s="3" t="s">
        <v>72</v>
      </c>
      <c r="K80" s="3">
        <v>265.0</v>
      </c>
      <c r="L80" s="3" t="s">
        <v>905</v>
      </c>
      <c r="M80" s="3">
        <v>2020.0</v>
      </c>
      <c r="N80" s="23" t="s">
        <v>1156</v>
      </c>
      <c r="S80" s="21"/>
      <c r="T80" s="21"/>
    </row>
    <row r="81">
      <c r="A81" s="3" t="s">
        <v>746</v>
      </c>
      <c r="B81" s="3" t="s">
        <v>76</v>
      </c>
      <c r="C81" s="3" t="s">
        <v>747</v>
      </c>
      <c r="D81" s="3" t="s">
        <v>46</v>
      </c>
      <c r="E81" s="8" t="s">
        <v>51</v>
      </c>
      <c r="F81" s="7">
        <v>45909.0</v>
      </c>
      <c r="G81" s="3" t="s">
        <v>670</v>
      </c>
      <c r="H81" s="20">
        <v>2.017E7</v>
      </c>
      <c r="I81" s="20">
        <v>1.012E7</v>
      </c>
      <c r="J81" s="3" t="s">
        <v>672</v>
      </c>
      <c r="K81" s="3">
        <v>169.0</v>
      </c>
      <c r="L81" s="3" t="s">
        <v>538</v>
      </c>
      <c r="M81" s="3">
        <v>2021.0</v>
      </c>
      <c r="N81" s="23" t="s">
        <v>1167</v>
      </c>
      <c r="S81" s="21"/>
      <c r="T81" s="21"/>
    </row>
    <row r="82">
      <c r="A82" s="3" t="s">
        <v>751</v>
      </c>
      <c r="B82" s="3" t="s">
        <v>752</v>
      </c>
      <c r="C82" s="3" t="s">
        <v>754</v>
      </c>
      <c r="D82" s="3" t="s">
        <v>46</v>
      </c>
      <c r="E82" s="8" t="s">
        <v>51</v>
      </c>
      <c r="F82" s="7">
        <v>44629.0</v>
      </c>
      <c r="G82" s="3" t="s">
        <v>736</v>
      </c>
      <c r="H82" s="20">
        <v>1.3E8</v>
      </c>
      <c r="I82" s="20">
        <v>1.0E8</v>
      </c>
      <c r="J82" s="3" t="s">
        <v>72</v>
      </c>
      <c r="K82" s="3"/>
      <c r="L82" s="3" t="s">
        <v>783</v>
      </c>
      <c r="M82" s="3">
        <v>2018.0</v>
      </c>
      <c r="N82" s="23" t="s">
        <v>1176</v>
      </c>
      <c r="S82" s="21"/>
      <c r="T82" s="21"/>
    </row>
    <row r="83">
      <c r="A83" s="3" t="s">
        <v>760</v>
      </c>
      <c r="B83" s="3" t="s">
        <v>685</v>
      </c>
      <c r="C83" s="3" t="s">
        <v>686</v>
      </c>
      <c r="D83" s="3" t="s">
        <v>762</v>
      </c>
      <c r="E83" s="8" t="s">
        <v>51</v>
      </c>
      <c r="F83" s="7">
        <v>45925.0</v>
      </c>
      <c r="G83" s="3" t="s">
        <v>364</v>
      </c>
      <c r="H83" s="20">
        <v>1.23E9</v>
      </c>
      <c r="I83" s="20">
        <v>1.0E8</v>
      </c>
      <c r="J83" s="3" t="s">
        <v>72</v>
      </c>
      <c r="K83" s="3"/>
      <c r="L83" s="3" t="s">
        <v>833</v>
      </c>
      <c r="M83" s="3"/>
      <c r="N83" s="3"/>
      <c r="O83" s="1" t="s">
        <v>65</v>
      </c>
      <c r="S83" s="21"/>
      <c r="T83" s="21"/>
    </row>
    <row r="84">
      <c r="A84" s="3" t="s">
        <v>764</v>
      </c>
      <c r="B84" s="3" t="s">
        <v>289</v>
      </c>
      <c r="C84" s="3" t="s">
        <v>765</v>
      </c>
      <c r="D84" s="3" t="s">
        <v>46</v>
      </c>
      <c r="E84" s="8" t="s">
        <v>51</v>
      </c>
      <c r="F84" s="7">
        <v>44488.0</v>
      </c>
      <c r="G84" s="3" t="s">
        <v>167</v>
      </c>
      <c r="H84" s="20">
        <v>1.18E8</v>
      </c>
      <c r="I84" s="20">
        <v>1.08E8</v>
      </c>
      <c r="J84" s="3" t="s">
        <v>72</v>
      </c>
      <c r="K84" s="3">
        <v>567.0</v>
      </c>
      <c r="L84" s="3" t="s">
        <v>783</v>
      </c>
      <c r="M84" s="3">
        <v>2016.0</v>
      </c>
      <c r="N84" s="23" t="s">
        <v>1192</v>
      </c>
      <c r="S84" s="21"/>
      <c r="T84" s="21"/>
    </row>
    <row r="85">
      <c r="A85" s="3" t="s">
        <v>768</v>
      </c>
      <c r="B85" s="3" t="s">
        <v>769</v>
      </c>
      <c r="C85" s="3" t="s">
        <v>770</v>
      </c>
      <c r="D85" s="3" t="s">
        <v>46</v>
      </c>
      <c r="E85" s="8" t="s">
        <v>51</v>
      </c>
      <c r="F85" s="7">
        <v>45992.0</v>
      </c>
      <c r="G85" s="3" t="s">
        <v>736</v>
      </c>
      <c r="H85" s="20">
        <v>1.22E9</v>
      </c>
      <c r="I85" s="20">
        <v>1.08E8</v>
      </c>
      <c r="J85" s="3" t="s">
        <v>172</v>
      </c>
      <c r="K85" s="3">
        <v>2157.0</v>
      </c>
      <c r="L85" s="3" t="s">
        <v>1144</v>
      </c>
      <c r="M85" s="3">
        <v>2012.0</v>
      </c>
      <c r="N85" s="23" t="s">
        <v>1196</v>
      </c>
      <c r="S85" s="21"/>
      <c r="T85" s="21"/>
    </row>
    <row r="86">
      <c r="A86" s="3" t="s">
        <v>774</v>
      </c>
      <c r="B86" s="3" t="s">
        <v>59</v>
      </c>
      <c r="C86" s="3" t="s">
        <v>775</v>
      </c>
      <c r="D86" s="3" t="s">
        <v>171</v>
      </c>
      <c r="E86" s="8" t="s">
        <v>52</v>
      </c>
      <c r="F86" s="7">
        <v>45505.0</v>
      </c>
      <c r="G86" s="3" t="s">
        <v>59</v>
      </c>
      <c r="H86" s="20">
        <v>1.1E7</v>
      </c>
      <c r="I86" s="20">
        <v>1.1E7</v>
      </c>
      <c r="J86" s="3" t="s">
        <v>72</v>
      </c>
      <c r="K86" s="3"/>
      <c r="L86" s="3" t="s">
        <v>496</v>
      </c>
      <c r="M86" s="3">
        <v>2023.0</v>
      </c>
      <c r="N86" s="23" t="s">
        <v>1206</v>
      </c>
      <c r="S86" s="21"/>
      <c r="T86" s="21"/>
    </row>
    <row r="87">
      <c r="A87" s="3" t="s">
        <v>777</v>
      </c>
      <c r="B87" s="3" t="s">
        <v>76</v>
      </c>
      <c r="C87" s="3" t="s">
        <v>778</v>
      </c>
      <c r="D87" s="3" t="s">
        <v>46</v>
      </c>
      <c r="E87" s="8" t="s">
        <v>51</v>
      </c>
      <c r="F87" s="7">
        <v>45925.0</v>
      </c>
      <c r="G87" s="3" t="s">
        <v>670</v>
      </c>
      <c r="H87" s="20">
        <v>1.5E7</v>
      </c>
      <c r="I87" s="20">
        <v>1.2E7</v>
      </c>
      <c r="J87" s="3" t="s">
        <v>672</v>
      </c>
      <c r="K87" s="3">
        <v>54.0</v>
      </c>
      <c r="L87" s="3" t="s">
        <v>538</v>
      </c>
      <c r="M87" s="3">
        <v>2018.0</v>
      </c>
      <c r="N87" s="23" t="s">
        <v>1217</v>
      </c>
      <c r="S87" s="21"/>
      <c r="T87" s="21"/>
    </row>
    <row r="88">
      <c r="A88" s="3" t="s">
        <v>785</v>
      </c>
      <c r="B88" s="3" t="s">
        <v>76</v>
      </c>
      <c r="C88" s="3" t="s">
        <v>786</v>
      </c>
      <c r="D88" s="3" t="s">
        <v>710</v>
      </c>
      <c r="E88" s="8" t="s">
        <v>52</v>
      </c>
      <c r="F88" s="7">
        <v>45916.0</v>
      </c>
      <c r="G88" s="3" t="s">
        <v>670</v>
      </c>
      <c r="H88" s="20">
        <v>1.9935543E7</v>
      </c>
      <c r="I88" s="20">
        <v>1.2E7</v>
      </c>
      <c r="J88" s="3" t="s">
        <v>672</v>
      </c>
      <c r="K88" s="3">
        <v>190.0</v>
      </c>
      <c r="L88" s="3" t="s">
        <v>514</v>
      </c>
      <c r="M88" s="3">
        <v>2015.0</v>
      </c>
      <c r="N88" s="23" t="s">
        <v>1224</v>
      </c>
      <c r="S88" s="21"/>
      <c r="T88" s="21"/>
    </row>
    <row r="89">
      <c r="A89" s="3" t="s">
        <v>792</v>
      </c>
      <c r="B89" s="3" t="s">
        <v>76</v>
      </c>
      <c r="C89" s="3" t="s">
        <v>793</v>
      </c>
      <c r="D89" s="3" t="s">
        <v>171</v>
      </c>
      <c r="E89" s="8" t="s">
        <v>52</v>
      </c>
      <c r="F89" s="7">
        <v>44529.0</v>
      </c>
      <c r="G89" s="3" t="s">
        <v>670</v>
      </c>
      <c r="H89" s="20">
        <v>1.5365459E7</v>
      </c>
      <c r="I89" s="20">
        <v>1.2E7</v>
      </c>
      <c r="J89" s="3" t="s">
        <v>72</v>
      </c>
      <c r="K89" s="3">
        <v>68.0</v>
      </c>
      <c r="L89" s="3" t="s">
        <v>538</v>
      </c>
      <c r="M89" s="3">
        <v>2017.0</v>
      </c>
      <c r="N89" s="23" t="s">
        <v>1231</v>
      </c>
      <c r="S89" s="21"/>
      <c r="T89" s="21"/>
    </row>
    <row r="90">
      <c r="A90" s="3" t="s">
        <v>795</v>
      </c>
      <c r="B90" s="3" t="s">
        <v>289</v>
      </c>
      <c r="C90" s="3" t="s">
        <v>796</v>
      </c>
      <c r="D90" s="3" t="s">
        <v>66</v>
      </c>
      <c r="E90" s="8" t="s">
        <v>52</v>
      </c>
      <c r="F90" s="7">
        <v>43766.0</v>
      </c>
      <c r="G90" s="3" t="s">
        <v>670</v>
      </c>
      <c r="H90" s="20">
        <v>1.6635985E7</v>
      </c>
      <c r="I90" s="20">
        <v>1.2E7</v>
      </c>
      <c r="J90" s="3" t="s">
        <v>72</v>
      </c>
      <c r="K90" s="3">
        <v>40.0</v>
      </c>
      <c r="L90" s="3" t="s">
        <v>496</v>
      </c>
      <c r="M90" s="3">
        <v>2016.0</v>
      </c>
      <c r="N90" s="23" t="s">
        <v>1244</v>
      </c>
      <c r="S90" s="21"/>
      <c r="T90" s="21"/>
    </row>
    <row r="91">
      <c r="A91" s="3" t="s">
        <v>800</v>
      </c>
      <c r="B91" s="3" t="s">
        <v>752</v>
      </c>
      <c r="C91" s="3" t="s">
        <v>802</v>
      </c>
      <c r="D91" s="3" t="s">
        <v>46</v>
      </c>
      <c r="E91" s="8" t="s">
        <v>51</v>
      </c>
      <c r="F91" s="7">
        <v>45544.0</v>
      </c>
      <c r="G91" s="3" t="s">
        <v>167</v>
      </c>
      <c r="H91" s="20">
        <v>9.0268052E7</v>
      </c>
      <c r="I91" s="20">
        <v>1.25E7</v>
      </c>
      <c r="J91" s="3" t="s">
        <v>172</v>
      </c>
      <c r="K91" s="3">
        <v>131.0</v>
      </c>
      <c r="L91" s="3" t="s">
        <v>905</v>
      </c>
      <c r="M91" s="3">
        <v>2019.0</v>
      </c>
      <c r="N91" s="23" t="s">
        <v>1256</v>
      </c>
      <c r="S91" s="21"/>
      <c r="T91" s="21"/>
    </row>
    <row r="92">
      <c r="A92" s="3" t="s">
        <v>1257</v>
      </c>
      <c r="B92" s="3" t="s">
        <v>38</v>
      </c>
      <c r="C92" s="3" t="s">
        <v>1258</v>
      </c>
      <c r="D92" s="3" t="s">
        <v>970</v>
      </c>
      <c r="E92" s="8" t="s">
        <v>52</v>
      </c>
      <c r="F92" s="7">
        <v>42987.0</v>
      </c>
      <c r="G92" s="3" t="s">
        <v>167</v>
      </c>
      <c r="H92" s="20">
        <v>1.296E7</v>
      </c>
      <c r="I92" s="20">
        <v>1.188E7</v>
      </c>
      <c r="J92" s="3" t="s">
        <v>68</v>
      </c>
      <c r="K92" s="3">
        <v>239.0</v>
      </c>
      <c r="L92" s="3" t="s">
        <v>514</v>
      </c>
      <c r="M92" s="3">
        <v>2025.0</v>
      </c>
      <c r="N92" s="23" t="s">
        <v>1260</v>
      </c>
      <c r="S92" s="21"/>
      <c r="T92" s="21"/>
    </row>
    <row r="93">
      <c r="A93" s="3" t="s">
        <v>811</v>
      </c>
      <c r="B93" s="3" t="s">
        <v>59</v>
      </c>
      <c r="C93" s="3" t="s">
        <v>812</v>
      </c>
      <c r="D93" s="3" t="s">
        <v>171</v>
      </c>
      <c r="E93" s="8" t="s">
        <v>52</v>
      </c>
      <c r="F93" s="7">
        <v>41579.0</v>
      </c>
      <c r="G93" s="3" t="s">
        <v>59</v>
      </c>
      <c r="H93" s="20">
        <v>375000.0</v>
      </c>
      <c r="I93" s="20">
        <v>125000.0</v>
      </c>
      <c r="J93" s="3" t="s">
        <v>68</v>
      </c>
      <c r="K93" s="3"/>
      <c r="L93" s="3" t="s">
        <v>496</v>
      </c>
      <c r="M93" s="3">
        <v>2013.0</v>
      </c>
      <c r="N93" s="3"/>
      <c r="O93" s="1" t="s">
        <v>65</v>
      </c>
      <c r="S93" s="21"/>
      <c r="T93" s="21"/>
    </row>
    <row r="94">
      <c r="A94" s="3" t="s">
        <v>816</v>
      </c>
      <c r="B94" s="3" t="s">
        <v>752</v>
      </c>
      <c r="C94" s="3" t="s">
        <v>472</v>
      </c>
      <c r="D94" s="3" t="s">
        <v>817</v>
      </c>
      <c r="E94" s="8" t="s">
        <v>51</v>
      </c>
      <c r="F94" s="7">
        <v>45461.0</v>
      </c>
      <c r="G94" s="3" t="s">
        <v>736</v>
      </c>
      <c r="H94" s="20">
        <v>1.56130284E8</v>
      </c>
      <c r="I94" s="20">
        <v>1.25E8</v>
      </c>
      <c r="J94" s="3" t="s">
        <v>72</v>
      </c>
      <c r="K94" s="3">
        <v>409.0</v>
      </c>
      <c r="L94" s="3" t="s">
        <v>905</v>
      </c>
      <c r="M94" s="3">
        <v>2016.0</v>
      </c>
      <c r="N94" s="23" t="s">
        <v>1266</v>
      </c>
      <c r="S94" s="18"/>
      <c r="T94" s="21"/>
    </row>
    <row r="95">
      <c r="A95" s="3" t="s">
        <v>582</v>
      </c>
      <c r="B95" s="3" t="s">
        <v>59</v>
      </c>
      <c r="C95" s="3" t="s">
        <v>583</v>
      </c>
      <c r="D95" s="3" t="s">
        <v>171</v>
      </c>
      <c r="E95" s="8" t="s">
        <v>52</v>
      </c>
      <c r="F95" s="7">
        <v>43753.0</v>
      </c>
      <c r="G95" s="3" t="s">
        <v>59</v>
      </c>
      <c r="H95" s="20">
        <v>130000.0</v>
      </c>
      <c r="I95" s="20">
        <v>130000.0</v>
      </c>
      <c r="J95" s="3" t="s">
        <v>672</v>
      </c>
      <c r="K95" s="3"/>
      <c r="L95" s="3" t="s">
        <v>496</v>
      </c>
      <c r="M95" s="3">
        <v>2017.0</v>
      </c>
      <c r="N95" s="23" t="s">
        <v>1269</v>
      </c>
      <c r="S95" s="21"/>
      <c r="T95" s="21"/>
    </row>
    <row r="96">
      <c r="A96" s="3" t="s">
        <v>823</v>
      </c>
      <c r="B96" s="3" t="s">
        <v>76</v>
      </c>
      <c r="C96" s="3" t="s">
        <v>824</v>
      </c>
      <c r="D96" s="3" t="s">
        <v>46</v>
      </c>
      <c r="E96" s="8" t="s">
        <v>51</v>
      </c>
      <c r="F96" s="7">
        <v>44470.0</v>
      </c>
      <c r="G96" s="3" t="s">
        <v>670</v>
      </c>
      <c r="H96" s="20">
        <v>1.85E7</v>
      </c>
      <c r="I96" s="20">
        <v>1.5E7</v>
      </c>
      <c r="J96" s="3" t="s">
        <v>172</v>
      </c>
      <c r="K96" s="3">
        <v>342.0</v>
      </c>
      <c r="L96" s="3" t="s">
        <v>905</v>
      </c>
      <c r="M96" s="3">
        <v>2019.0</v>
      </c>
      <c r="N96" s="23" t="s">
        <v>1276</v>
      </c>
      <c r="S96" s="21"/>
      <c r="T96" s="21"/>
    </row>
    <row r="97">
      <c r="A97" s="3" t="s">
        <v>826</v>
      </c>
      <c r="B97" s="3" t="s">
        <v>289</v>
      </c>
      <c r="C97" s="3" t="s">
        <v>827</v>
      </c>
      <c r="D97" s="3" t="s">
        <v>171</v>
      </c>
      <c r="E97" s="8" t="s">
        <v>52</v>
      </c>
      <c r="F97" s="7">
        <v>44825.0</v>
      </c>
      <c r="G97" s="3" t="s">
        <v>670</v>
      </c>
      <c r="H97" s="20">
        <v>2.94E7</v>
      </c>
      <c r="I97" s="20">
        <v>1.5E7</v>
      </c>
      <c r="J97" s="3" t="s">
        <v>72</v>
      </c>
      <c r="K97" s="3">
        <v>68.0</v>
      </c>
      <c r="L97" s="3" t="s">
        <v>538</v>
      </c>
      <c r="M97" s="3">
        <v>2012.0</v>
      </c>
      <c r="N97" s="23" t="s">
        <v>1281</v>
      </c>
      <c r="S97" s="21"/>
      <c r="T97" s="21"/>
    </row>
    <row r="98">
      <c r="A98" s="3" t="s">
        <v>829</v>
      </c>
      <c r="B98" s="3" t="s">
        <v>685</v>
      </c>
      <c r="C98" s="3" t="s">
        <v>830</v>
      </c>
      <c r="D98" s="3" t="s">
        <v>46</v>
      </c>
      <c r="E98" s="8" t="s">
        <v>51</v>
      </c>
      <c r="F98" s="7">
        <v>45851.0</v>
      </c>
      <c r="G98" s="3" t="s">
        <v>364</v>
      </c>
      <c r="H98" s="20">
        <v>2.67E9</v>
      </c>
      <c r="I98" s="20">
        <v>1.6E8</v>
      </c>
      <c r="J98" s="3" t="s">
        <v>172</v>
      </c>
      <c r="K98" s="3"/>
      <c r="L98" s="3" t="s">
        <v>1286</v>
      </c>
      <c r="M98" s="3"/>
      <c r="N98" s="3"/>
      <c r="O98" s="1" t="s">
        <v>65</v>
      </c>
      <c r="S98" s="21"/>
      <c r="T98" s="21"/>
    </row>
    <row r="99">
      <c r="A99" s="3" t="s">
        <v>836</v>
      </c>
      <c r="B99" s="3" t="s">
        <v>38</v>
      </c>
      <c r="C99" s="3" t="s">
        <v>837</v>
      </c>
      <c r="D99" s="3" t="s">
        <v>612</v>
      </c>
      <c r="E99" s="8" t="s">
        <v>51</v>
      </c>
      <c r="F99" s="7">
        <v>45685.0</v>
      </c>
      <c r="G99" s="3" t="s">
        <v>68</v>
      </c>
      <c r="H99" s="20">
        <v>1.8E7</v>
      </c>
      <c r="I99" s="20">
        <v>1.8E7</v>
      </c>
      <c r="J99" s="3" t="s">
        <v>72</v>
      </c>
      <c r="K99" s="3">
        <v>76.0</v>
      </c>
      <c r="L99" s="3" t="s">
        <v>538</v>
      </c>
      <c r="M99" s="3">
        <v>2023.0</v>
      </c>
      <c r="N99" s="23" t="s">
        <v>1288</v>
      </c>
      <c r="S99" s="21"/>
      <c r="T99" s="21"/>
    </row>
    <row r="100">
      <c r="A100" s="3" t="s">
        <v>841</v>
      </c>
      <c r="B100" s="3" t="s">
        <v>38</v>
      </c>
      <c r="C100" s="3" t="s">
        <v>842</v>
      </c>
      <c r="D100" s="3" t="s">
        <v>171</v>
      </c>
      <c r="E100" s="8" t="s">
        <v>52</v>
      </c>
      <c r="F100" s="7">
        <v>41723.0</v>
      </c>
      <c r="G100" s="3" t="s">
        <v>68</v>
      </c>
      <c r="H100" s="20">
        <v>1.85E7</v>
      </c>
      <c r="I100" s="20">
        <v>1.85E7</v>
      </c>
      <c r="J100" s="3" t="s">
        <v>72</v>
      </c>
      <c r="K100" s="3">
        <v>52.0</v>
      </c>
      <c r="L100" s="3" t="s">
        <v>538</v>
      </c>
      <c r="M100" s="3">
        <v>2006.0</v>
      </c>
      <c r="N100" s="23" t="s">
        <v>1295</v>
      </c>
      <c r="O100" s="1" t="s">
        <v>65</v>
      </c>
      <c r="S100" s="21"/>
      <c r="T100" s="21"/>
    </row>
    <row r="101">
      <c r="A101" s="3" t="s">
        <v>846</v>
      </c>
      <c r="B101" s="3" t="s">
        <v>59</v>
      </c>
      <c r="C101" s="3" t="s">
        <v>847</v>
      </c>
      <c r="D101" s="3" t="s">
        <v>848</v>
      </c>
      <c r="E101" s="8" t="s">
        <v>52</v>
      </c>
      <c r="F101" s="7">
        <v>41142.0</v>
      </c>
      <c r="G101" s="3" t="s">
        <v>59</v>
      </c>
      <c r="H101" s="20">
        <v>180000.0</v>
      </c>
      <c r="I101" s="20">
        <v>180000.0</v>
      </c>
      <c r="J101" s="3" t="s">
        <v>72</v>
      </c>
      <c r="K101" s="3"/>
      <c r="L101" s="3" t="s">
        <v>514</v>
      </c>
      <c r="M101" s="3"/>
      <c r="N101" s="3"/>
      <c r="O101" s="1" t="s">
        <v>65</v>
      </c>
      <c r="S101" s="21"/>
      <c r="T101" s="21"/>
    </row>
    <row r="102">
      <c r="A102" s="3" t="s">
        <v>851</v>
      </c>
      <c r="B102" s="3" t="s">
        <v>565</v>
      </c>
      <c r="C102" s="3" t="s">
        <v>852</v>
      </c>
      <c r="D102" s="3" t="s">
        <v>261</v>
      </c>
      <c r="E102" s="8" t="s">
        <v>51</v>
      </c>
      <c r="F102" s="7">
        <v>44545.0</v>
      </c>
      <c r="G102" s="3" t="s">
        <v>736</v>
      </c>
      <c r="H102" s="20">
        <v>3.22485E8</v>
      </c>
      <c r="I102" s="20">
        <v>1.86E8</v>
      </c>
      <c r="J102" s="3" t="s">
        <v>72</v>
      </c>
      <c r="K102" s="3">
        <v>845.0</v>
      </c>
      <c r="L102" s="3" t="s">
        <v>783</v>
      </c>
      <c r="M102" s="3">
        <v>2015.0</v>
      </c>
      <c r="N102" s="23" t="s">
        <v>1303</v>
      </c>
      <c r="S102" s="21"/>
      <c r="T102" s="21"/>
    </row>
    <row r="103">
      <c r="A103" s="3" t="s">
        <v>856</v>
      </c>
      <c r="B103" s="3" t="s">
        <v>565</v>
      </c>
      <c r="C103" s="3" t="s">
        <v>857</v>
      </c>
      <c r="D103" s="3" t="s">
        <v>261</v>
      </c>
      <c r="E103" s="8" t="s">
        <v>51</v>
      </c>
      <c r="F103" s="7">
        <v>44203.0</v>
      </c>
      <c r="G103" s="3" t="s">
        <v>736</v>
      </c>
      <c r="H103" s="20">
        <v>3.38820267E8</v>
      </c>
      <c r="I103" s="20">
        <v>1.9E8</v>
      </c>
      <c r="J103" s="3" t="s">
        <v>72</v>
      </c>
      <c r="K103" s="3">
        <v>2162.0</v>
      </c>
      <c r="L103" s="3" t="s">
        <v>1144</v>
      </c>
      <c r="M103" s="3">
        <v>2009.0</v>
      </c>
      <c r="N103" s="23" t="s">
        <v>1308</v>
      </c>
      <c r="S103" s="21"/>
      <c r="T103" s="21"/>
    </row>
    <row r="104">
      <c r="A104" s="3" t="s">
        <v>860</v>
      </c>
      <c r="B104" s="3" t="s">
        <v>289</v>
      </c>
      <c r="C104" s="3" t="s">
        <v>861</v>
      </c>
      <c r="D104" s="3" t="s">
        <v>46</v>
      </c>
      <c r="E104" s="8" t="s">
        <v>51</v>
      </c>
      <c r="F104" s="7">
        <v>45625.0</v>
      </c>
      <c r="G104" s="3" t="s">
        <v>670</v>
      </c>
      <c r="H104" s="20">
        <v>2.1370375E7</v>
      </c>
      <c r="I104" s="20">
        <v>2000000.0</v>
      </c>
      <c r="J104" s="3" t="s">
        <v>172</v>
      </c>
      <c r="K104" s="3">
        <v>120.0</v>
      </c>
      <c r="L104" s="3" t="s">
        <v>514</v>
      </c>
      <c r="M104" s="3">
        <v>2021.0</v>
      </c>
      <c r="N104" s="23" t="s">
        <v>1319</v>
      </c>
      <c r="S104" s="21"/>
      <c r="T104" s="21"/>
    </row>
    <row r="105">
      <c r="A105" s="3" t="s">
        <v>1220</v>
      </c>
      <c r="B105" s="3" t="s">
        <v>76</v>
      </c>
      <c r="C105" s="3" t="s">
        <v>866</v>
      </c>
      <c r="D105" s="3" t="s">
        <v>66</v>
      </c>
      <c r="E105" s="8" t="s">
        <v>52</v>
      </c>
      <c r="F105" s="7">
        <v>43983.0</v>
      </c>
      <c r="G105" s="3" t="s">
        <v>670</v>
      </c>
      <c r="H105" s="20">
        <v>2200000.0</v>
      </c>
      <c r="I105" s="20">
        <v>2200000.0</v>
      </c>
      <c r="J105" s="3" t="s">
        <v>72</v>
      </c>
      <c r="K105" s="3">
        <v>28.0</v>
      </c>
      <c r="L105" s="3" t="s">
        <v>496</v>
      </c>
      <c r="M105" s="3">
        <v>2015.0</v>
      </c>
      <c r="N105" s="23" t="s">
        <v>1325</v>
      </c>
      <c r="S105" s="21"/>
      <c r="T105" s="21"/>
    </row>
    <row r="106">
      <c r="A106" s="3" t="s">
        <v>868</v>
      </c>
      <c r="B106" s="3" t="s">
        <v>38</v>
      </c>
      <c r="C106" s="3" t="s">
        <v>869</v>
      </c>
      <c r="D106" s="3" t="s">
        <v>710</v>
      </c>
      <c r="E106" s="8" t="s">
        <v>52</v>
      </c>
      <c r="F106" s="7">
        <v>43466.0</v>
      </c>
      <c r="G106" s="3" t="s">
        <v>68</v>
      </c>
      <c r="H106" s="20">
        <v>2200000.0</v>
      </c>
      <c r="I106" s="20">
        <v>2200000.0</v>
      </c>
      <c r="J106" s="3" t="s">
        <v>72</v>
      </c>
      <c r="K106" s="3">
        <v>54.0</v>
      </c>
      <c r="L106" s="3" t="s">
        <v>496</v>
      </c>
      <c r="M106" s="3">
        <v>2007.0</v>
      </c>
      <c r="N106" s="23" t="s">
        <v>1332</v>
      </c>
      <c r="S106" s="21"/>
      <c r="T106" s="21"/>
    </row>
    <row r="107">
      <c r="A107" s="3" t="s">
        <v>871</v>
      </c>
      <c r="B107" s="3" t="s">
        <v>59</v>
      </c>
      <c r="C107" s="3" t="s">
        <v>872</v>
      </c>
      <c r="D107" s="3" t="s">
        <v>171</v>
      </c>
      <c r="E107" s="8" t="s">
        <v>52</v>
      </c>
      <c r="F107" s="7">
        <v>45457.0</v>
      </c>
      <c r="G107" s="3" t="s">
        <v>59</v>
      </c>
      <c r="H107" s="20">
        <v>2400000.0</v>
      </c>
      <c r="I107" s="20">
        <v>2400000.0</v>
      </c>
      <c r="J107" s="3" t="s">
        <v>172</v>
      </c>
      <c r="K107" s="3"/>
      <c r="L107" s="3" t="s">
        <v>496</v>
      </c>
      <c r="M107" s="3">
        <v>2021.0</v>
      </c>
      <c r="N107" s="23" t="s">
        <v>1259</v>
      </c>
      <c r="S107" s="21"/>
      <c r="T107" s="21"/>
    </row>
    <row r="108">
      <c r="A108" s="3" t="s">
        <v>875</v>
      </c>
      <c r="B108" s="3" t="s">
        <v>38</v>
      </c>
      <c r="C108" s="3" t="s">
        <v>541</v>
      </c>
      <c r="D108" s="3" t="s">
        <v>46</v>
      </c>
      <c r="E108" s="8" t="s">
        <v>51</v>
      </c>
      <c r="F108" s="7">
        <v>45953.0</v>
      </c>
      <c r="G108" s="3" t="s">
        <v>68</v>
      </c>
      <c r="H108" s="20">
        <v>5.1118155E7</v>
      </c>
      <c r="I108" s="20">
        <v>2500000.0</v>
      </c>
      <c r="J108" s="3" t="s">
        <v>672</v>
      </c>
      <c r="K108" s="3">
        <v>118.0</v>
      </c>
      <c r="L108" s="3" t="s">
        <v>514</v>
      </c>
      <c r="M108" s="3">
        <v>2020.0</v>
      </c>
      <c r="N108" s="23" t="s">
        <v>1345</v>
      </c>
      <c r="S108" s="21"/>
      <c r="T108" s="21"/>
    </row>
    <row r="109">
      <c r="A109" s="3" t="s">
        <v>878</v>
      </c>
      <c r="B109" s="3" t="s">
        <v>289</v>
      </c>
      <c r="C109" s="3" t="s">
        <v>879</v>
      </c>
      <c r="D109" s="3" t="s">
        <v>46</v>
      </c>
      <c r="E109" s="8" t="s">
        <v>51</v>
      </c>
      <c r="F109" s="7">
        <v>45324.0</v>
      </c>
      <c r="G109" s="3" t="s">
        <v>670</v>
      </c>
      <c r="H109" s="20">
        <v>5.08E7</v>
      </c>
      <c r="I109" s="20">
        <v>2.0E7</v>
      </c>
      <c r="J109" s="3" t="s">
        <v>72</v>
      </c>
      <c r="K109" s="3">
        <v>55.0</v>
      </c>
      <c r="L109" s="3" t="s">
        <v>538</v>
      </c>
      <c r="M109" s="3">
        <v>2018.0</v>
      </c>
      <c r="N109" s="23" t="s">
        <v>1353</v>
      </c>
      <c r="S109" s="21"/>
      <c r="T109" s="21"/>
    </row>
    <row r="110">
      <c r="A110" s="3" t="s">
        <v>884</v>
      </c>
      <c r="B110" s="3" t="s">
        <v>38</v>
      </c>
      <c r="C110" s="3" t="s">
        <v>885</v>
      </c>
      <c r="D110" s="3" t="s">
        <v>46</v>
      </c>
      <c r="E110" s="8" t="s">
        <v>51</v>
      </c>
      <c r="F110" s="7">
        <v>44602.0</v>
      </c>
      <c r="G110" s="3" t="s">
        <v>68</v>
      </c>
      <c r="H110" s="20">
        <v>2.035E8</v>
      </c>
      <c r="I110" s="20">
        <v>2.0E8</v>
      </c>
      <c r="J110" s="3" t="s">
        <v>172</v>
      </c>
      <c r="K110" s="3"/>
      <c r="L110" s="3" t="s">
        <v>496</v>
      </c>
      <c r="M110" s="3"/>
      <c r="N110" s="3" t="s">
        <v>65</v>
      </c>
      <c r="S110" s="21"/>
      <c r="T110" s="21"/>
    </row>
    <row r="111">
      <c r="A111" s="3" t="s">
        <v>888</v>
      </c>
      <c r="B111" s="3" t="s">
        <v>289</v>
      </c>
      <c r="C111" s="3" t="s">
        <v>640</v>
      </c>
      <c r="D111" s="3" t="s">
        <v>46</v>
      </c>
      <c r="E111" s="8" t="s">
        <v>51</v>
      </c>
      <c r="F111" s="7">
        <v>45908.0</v>
      </c>
      <c r="G111" s="3" t="s">
        <v>670</v>
      </c>
      <c r="H111" s="20">
        <v>8.6290928E7</v>
      </c>
      <c r="I111" s="20">
        <v>2.1E7</v>
      </c>
      <c r="J111" s="3" t="s">
        <v>672</v>
      </c>
      <c r="K111" s="3">
        <v>349.0</v>
      </c>
      <c r="L111" s="3" t="s">
        <v>905</v>
      </c>
      <c r="M111" s="3">
        <v>2019.0</v>
      </c>
      <c r="N111" s="23" t="s">
        <v>1368</v>
      </c>
      <c r="S111" s="21"/>
      <c r="T111" s="21"/>
    </row>
    <row r="112">
      <c r="A112" s="3" t="s">
        <v>892</v>
      </c>
      <c r="B112" s="3" t="s">
        <v>38</v>
      </c>
      <c r="C112" s="3" t="s">
        <v>893</v>
      </c>
      <c r="D112" s="3" t="s">
        <v>171</v>
      </c>
      <c r="E112" s="8" t="s">
        <v>52</v>
      </c>
      <c r="F112" s="7">
        <v>45281.0</v>
      </c>
      <c r="G112" s="3" t="s">
        <v>167</v>
      </c>
      <c r="H112" s="20">
        <v>1.12180004E8</v>
      </c>
      <c r="I112" s="20">
        <v>2.1E7</v>
      </c>
      <c r="J112" s="3" t="s">
        <v>672</v>
      </c>
      <c r="K112" s="3">
        <v>696.0</v>
      </c>
      <c r="L112" s="3" t="s">
        <v>783</v>
      </c>
      <c r="M112" s="3">
        <v>2013.0</v>
      </c>
      <c r="N112" s="23" t="s">
        <v>1377</v>
      </c>
      <c r="S112" s="21"/>
      <c r="T112" s="21"/>
    </row>
    <row r="113">
      <c r="A113" s="3" t="s">
        <v>896</v>
      </c>
      <c r="B113" s="3" t="s">
        <v>752</v>
      </c>
      <c r="C113" s="3" t="s">
        <v>897</v>
      </c>
      <c r="D113" s="3" t="s">
        <v>46</v>
      </c>
      <c r="E113" s="8" t="s">
        <v>51</v>
      </c>
      <c r="F113" s="7">
        <v>45699.0</v>
      </c>
      <c r="G113" s="3" t="s">
        <v>736</v>
      </c>
      <c r="H113" s="20">
        <v>2.163E8</v>
      </c>
      <c r="I113" s="20">
        <v>2.2E7</v>
      </c>
      <c r="J113" s="3" t="s">
        <v>172</v>
      </c>
      <c r="K113" s="3">
        <v>1415.0</v>
      </c>
      <c r="L113" s="3" t="s">
        <v>1144</v>
      </c>
      <c r="M113" s="3">
        <v>2019.0</v>
      </c>
      <c r="N113" s="23" t="s">
        <v>1384</v>
      </c>
      <c r="S113" s="21"/>
      <c r="T113" s="21"/>
    </row>
    <row r="114">
      <c r="A114" s="3" t="s">
        <v>901</v>
      </c>
      <c r="B114" s="3" t="s">
        <v>38</v>
      </c>
      <c r="C114" s="3" t="s">
        <v>902</v>
      </c>
      <c r="D114" s="3" t="s">
        <v>46</v>
      </c>
      <c r="E114" s="8" t="s">
        <v>51</v>
      </c>
      <c r="F114" s="7">
        <v>45264.0</v>
      </c>
      <c r="G114" s="3" t="s">
        <v>68</v>
      </c>
      <c r="H114" s="20">
        <v>2.67035624E8</v>
      </c>
      <c r="I114" s="20">
        <v>2.3E7</v>
      </c>
      <c r="J114" s="3" t="s">
        <v>72</v>
      </c>
      <c r="K114" s="3">
        <v>707.0</v>
      </c>
      <c r="L114" s="3" t="s">
        <v>783</v>
      </c>
      <c r="M114" s="3">
        <v>2010.0</v>
      </c>
      <c r="N114" s="23" t="s">
        <v>1389</v>
      </c>
      <c r="S114" s="21"/>
      <c r="T114" s="21"/>
    </row>
    <row r="115">
      <c r="A115" s="3" t="s">
        <v>906</v>
      </c>
      <c r="B115" s="3" t="s">
        <v>289</v>
      </c>
      <c r="C115" s="3" t="s">
        <v>907</v>
      </c>
      <c r="D115" s="3" t="s">
        <v>908</v>
      </c>
      <c r="E115" s="8" t="s">
        <v>52</v>
      </c>
      <c r="F115" s="7">
        <v>43661.0</v>
      </c>
      <c r="G115" s="3" t="s">
        <v>670</v>
      </c>
      <c r="H115" s="20">
        <v>2.3E7</v>
      </c>
      <c r="I115" s="20">
        <v>2.3E7</v>
      </c>
      <c r="J115" s="3" t="s">
        <v>72</v>
      </c>
      <c r="K115" s="3"/>
      <c r="L115" s="3" t="s">
        <v>496</v>
      </c>
      <c r="M115" s="3"/>
      <c r="N115" s="3" t="s">
        <v>65</v>
      </c>
      <c r="S115" s="21"/>
      <c r="T115" s="21"/>
    </row>
    <row r="116">
      <c r="A116" s="3" t="s">
        <v>910</v>
      </c>
      <c r="B116" s="3" t="s">
        <v>685</v>
      </c>
      <c r="C116" s="3" t="s">
        <v>911</v>
      </c>
      <c r="D116" s="3" t="s">
        <v>188</v>
      </c>
      <c r="E116" s="8" t="s">
        <v>51</v>
      </c>
      <c r="F116" s="7">
        <v>43857.0</v>
      </c>
      <c r="G116" s="3" t="s">
        <v>364</v>
      </c>
      <c r="H116" s="20">
        <v>2.39E8</v>
      </c>
      <c r="I116" s="20">
        <v>2.39E8</v>
      </c>
      <c r="J116" s="3" t="s">
        <v>672</v>
      </c>
      <c r="K116" s="3"/>
      <c r="L116" s="3" t="s">
        <v>783</v>
      </c>
      <c r="M116" s="3"/>
      <c r="N116" s="3" t="s">
        <v>65</v>
      </c>
      <c r="S116" s="21"/>
      <c r="T116" s="21"/>
    </row>
    <row r="117">
      <c r="A117" s="3" t="s">
        <v>913</v>
      </c>
      <c r="B117" s="3" t="s">
        <v>38</v>
      </c>
      <c r="C117" s="3" t="s">
        <v>914</v>
      </c>
      <c r="D117" s="3" t="s">
        <v>188</v>
      </c>
      <c r="E117" s="8" t="s">
        <v>51</v>
      </c>
      <c r="F117" s="7">
        <v>45670.0</v>
      </c>
      <c r="G117" s="3" t="s">
        <v>68</v>
      </c>
      <c r="H117" s="20">
        <v>1.85E8</v>
      </c>
      <c r="I117" s="20">
        <v>2.4E7</v>
      </c>
      <c r="J117" s="3" t="s">
        <v>172</v>
      </c>
      <c r="K117" s="3"/>
      <c r="L117" s="3" t="s">
        <v>1144</v>
      </c>
      <c r="M117" s="3"/>
      <c r="N117" s="3" t="s">
        <v>65</v>
      </c>
      <c r="S117" s="21"/>
      <c r="T117" s="21"/>
    </row>
    <row r="118">
      <c r="A118" s="3" t="s">
        <v>918</v>
      </c>
      <c r="B118" s="3" t="s">
        <v>565</v>
      </c>
      <c r="C118" s="3" t="s">
        <v>920</v>
      </c>
      <c r="D118" s="3" t="s">
        <v>46</v>
      </c>
      <c r="E118" s="8" t="s">
        <v>51</v>
      </c>
      <c r="F118" s="7">
        <v>45848.0</v>
      </c>
      <c r="G118" s="3" t="s">
        <v>736</v>
      </c>
      <c r="H118" s="20">
        <v>8.45670734E8</v>
      </c>
      <c r="I118" s="20">
        <v>2.5E7</v>
      </c>
      <c r="J118" s="3" t="s">
        <v>172</v>
      </c>
      <c r="K118" s="3">
        <v>1838.0</v>
      </c>
      <c r="L118" s="3" t="s">
        <v>783</v>
      </c>
      <c r="M118" s="3">
        <v>2016.0</v>
      </c>
      <c r="N118" s="23" t="s">
        <v>1396</v>
      </c>
      <c r="S118" s="21"/>
      <c r="T118" s="21"/>
    </row>
    <row r="119">
      <c r="A119" s="3" t="s">
        <v>925</v>
      </c>
      <c r="B119" s="3" t="s">
        <v>76</v>
      </c>
      <c r="C119" s="3" t="s">
        <v>926</v>
      </c>
      <c r="D119" s="3" t="s">
        <v>46</v>
      </c>
      <c r="E119" s="8" t="s">
        <v>51</v>
      </c>
      <c r="F119" s="7">
        <v>44497.0</v>
      </c>
      <c r="G119" s="3" t="s">
        <v>670</v>
      </c>
      <c r="H119" s="20">
        <v>2.83E7</v>
      </c>
      <c r="I119" s="20">
        <v>2.5E7</v>
      </c>
      <c r="J119" s="3" t="s">
        <v>72</v>
      </c>
      <c r="K119" s="3">
        <v>231.0</v>
      </c>
      <c r="L119" s="3" t="s">
        <v>514</v>
      </c>
      <c r="M119" s="3">
        <v>2018.0</v>
      </c>
      <c r="N119" s="23" t="s">
        <v>1406</v>
      </c>
      <c r="S119" s="21"/>
      <c r="T119" s="21"/>
    </row>
    <row r="120">
      <c r="A120" s="3" t="s">
        <v>614</v>
      </c>
      <c r="B120" s="3" t="s">
        <v>59</v>
      </c>
      <c r="C120" s="3" t="s">
        <v>615</v>
      </c>
      <c r="D120" s="3" t="s">
        <v>930</v>
      </c>
      <c r="E120" s="8" t="s">
        <v>51</v>
      </c>
      <c r="F120" s="7">
        <v>45667.0</v>
      </c>
      <c r="G120" s="3" t="s">
        <v>59</v>
      </c>
      <c r="H120" s="20">
        <v>300000.0</v>
      </c>
      <c r="I120" s="20">
        <v>250000.0</v>
      </c>
      <c r="J120" s="3" t="s">
        <v>172</v>
      </c>
      <c r="K120" s="3"/>
      <c r="L120" s="3" t="s">
        <v>496</v>
      </c>
      <c r="M120" s="3">
        <v>2024.0</v>
      </c>
      <c r="N120" s="23" t="s">
        <v>616</v>
      </c>
      <c r="S120" s="21"/>
      <c r="T120" s="21"/>
    </row>
    <row r="121">
      <c r="A121" s="3" t="s">
        <v>935</v>
      </c>
      <c r="B121" s="3" t="s">
        <v>289</v>
      </c>
      <c r="C121" s="3" t="s">
        <v>936</v>
      </c>
      <c r="D121" s="3" t="s">
        <v>46</v>
      </c>
      <c r="E121" s="8" t="s">
        <v>51</v>
      </c>
      <c r="F121" s="7">
        <v>45852.0</v>
      </c>
      <c r="G121" s="3" t="s">
        <v>670</v>
      </c>
      <c r="H121" s="20">
        <v>5.1049995E7</v>
      </c>
      <c r="I121" s="20">
        <v>2.65E7</v>
      </c>
      <c r="J121" s="3" t="s">
        <v>72</v>
      </c>
      <c r="K121" s="3">
        <v>220.0</v>
      </c>
      <c r="L121" s="3" t="s">
        <v>514</v>
      </c>
      <c r="M121" s="3">
        <v>2021.0</v>
      </c>
      <c r="N121" s="23" t="s">
        <v>1418</v>
      </c>
      <c r="S121" s="21"/>
      <c r="T121" s="21"/>
    </row>
    <row r="122">
      <c r="A122" s="3" t="s">
        <v>942</v>
      </c>
      <c r="B122" s="3" t="s">
        <v>76</v>
      </c>
      <c r="C122" s="3" t="s">
        <v>943</v>
      </c>
      <c r="D122" s="3" t="s">
        <v>46</v>
      </c>
      <c r="E122" s="8" t="s">
        <v>51</v>
      </c>
      <c r="F122" s="7">
        <v>45714.0</v>
      </c>
      <c r="G122" s="3" t="s">
        <v>670</v>
      </c>
      <c r="H122" s="20">
        <v>2.67E7</v>
      </c>
      <c r="I122" s="20">
        <v>2.67E7</v>
      </c>
      <c r="J122" s="3" t="s">
        <v>72</v>
      </c>
      <c r="K122" s="3">
        <v>253.0</v>
      </c>
      <c r="L122" s="3" t="s">
        <v>514</v>
      </c>
      <c r="M122" s="3">
        <v>2021.0</v>
      </c>
      <c r="N122" s="23" t="s">
        <v>1421</v>
      </c>
      <c r="S122" s="21"/>
      <c r="T122" s="21"/>
    </row>
    <row r="123">
      <c r="A123" s="3" t="s">
        <v>946</v>
      </c>
      <c r="B123" s="3" t="s">
        <v>685</v>
      </c>
      <c r="C123" s="3" t="s">
        <v>947</v>
      </c>
      <c r="D123" s="3" t="s">
        <v>46</v>
      </c>
      <c r="E123" s="8" t="s">
        <v>51</v>
      </c>
      <c r="F123" s="7">
        <v>44943.0</v>
      </c>
      <c r="G123" s="3" t="s">
        <v>364</v>
      </c>
      <c r="H123" s="20">
        <v>4.17E9</v>
      </c>
      <c r="I123" s="20">
        <v>2.651E8</v>
      </c>
      <c r="J123" s="3" t="s">
        <v>72</v>
      </c>
      <c r="K123" s="3"/>
      <c r="L123" s="3" t="s">
        <v>1286</v>
      </c>
      <c r="M123" s="3"/>
      <c r="N123" s="3" t="s">
        <v>65</v>
      </c>
      <c r="S123" s="21"/>
      <c r="T123" s="21"/>
    </row>
    <row r="124">
      <c r="A124" s="3" t="s">
        <v>952</v>
      </c>
      <c r="B124" s="3" t="s">
        <v>685</v>
      </c>
      <c r="C124" s="3" t="s">
        <v>911</v>
      </c>
      <c r="D124" s="3" t="s">
        <v>188</v>
      </c>
      <c r="E124" s="8" t="s">
        <v>51</v>
      </c>
      <c r="F124" s="7">
        <v>45903.0</v>
      </c>
      <c r="G124" s="3" t="s">
        <v>167</v>
      </c>
      <c r="H124" s="20">
        <v>1.155E10</v>
      </c>
      <c r="I124" s="20">
        <v>2.0E9</v>
      </c>
      <c r="J124" s="3" t="s">
        <v>72</v>
      </c>
      <c r="K124" s="3"/>
      <c r="L124" s="3" t="s">
        <v>833</v>
      </c>
      <c r="M124" s="3"/>
      <c r="N124" s="3" t="s">
        <v>65</v>
      </c>
      <c r="S124" s="21"/>
      <c r="T124" s="21"/>
    </row>
    <row r="125">
      <c r="A125" s="3" t="s">
        <v>956</v>
      </c>
      <c r="B125" s="3" t="s">
        <v>752</v>
      </c>
      <c r="C125" s="3" t="s">
        <v>957</v>
      </c>
      <c r="D125" s="3" t="s">
        <v>46</v>
      </c>
      <c r="E125" s="8" t="s">
        <v>51</v>
      </c>
      <c r="F125" s="7">
        <v>45806.0</v>
      </c>
      <c r="G125" s="3" t="s">
        <v>736</v>
      </c>
      <c r="H125" s="20">
        <v>1.62578377E8</v>
      </c>
      <c r="I125" s="20">
        <v>3000000.0</v>
      </c>
      <c r="J125" s="3" t="s">
        <v>72</v>
      </c>
      <c r="K125" s="3">
        <v>71.0</v>
      </c>
      <c r="L125" s="3" t="s">
        <v>538</v>
      </c>
      <c r="M125" s="3">
        <v>2020.0</v>
      </c>
      <c r="N125" s="23" t="s">
        <v>1320</v>
      </c>
      <c r="S125" s="21"/>
      <c r="T125" s="21"/>
    </row>
    <row r="126">
      <c r="A126" s="3" t="s">
        <v>962</v>
      </c>
      <c r="B126" s="3" t="s">
        <v>59</v>
      </c>
      <c r="C126" s="3" t="s">
        <v>472</v>
      </c>
      <c r="D126" s="3" t="s">
        <v>46</v>
      </c>
      <c r="E126" s="8" t="s">
        <v>51</v>
      </c>
      <c r="F126" s="7">
        <v>45162.0</v>
      </c>
      <c r="G126" s="3" t="s">
        <v>59</v>
      </c>
      <c r="H126" s="20">
        <v>3125000.0</v>
      </c>
      <c r="I126" s="20">
        <v>3000000.0</v>
      </c>
      <c r="J126" s="3" t="s">
        <v>172</v>
      </c>
      <c r="K126" s="3">
        <v>50.0</v>
      </c>
      <c r="L126" s="3" t="s">
        <v>496</v>
      </c>
      <c r="M126" s="3">
        <v>2021.0</v>
      </c>
      <c r="N126" s="23" t="s">
        <v>1327</v>
      </c>
      <c r="S126" s="21"/>
      <c r="T126" s="21"/>
    </row>
    <row r="127">
      <c r="A127" s="3" t="s">
        <v>964</v>
      </c>
      <c r="B127" s="3" t="s">
        <v>38</v>
      </c>
      <c r="C127" s="3" t="s">
        <v>965</v>
      </c>
      <c r="D127" s="3" t="s">
        <v>171</v>
      </c>
      <c r="E127" s="8" t="s">
        <v>52</v>
      </c>
      <c r="F127" s="7">
        <v>45602.0</v>
      </c>
      <c r="G127" s="3" t="s">
        <v>68</v>
      </c>
      <c r="H127" s="20">
        <v>6970906.0</v>
      </c>
      <c r="I127" s="20">
        <v>3000000.0</v>
      </c>
      <c r="J127" s="3" t="s">
        <v>172</v>
      </c>
      <c r="K127" s="3">
        <v>28.0</v>
      </c>
      <c r="L127" s="3" t="s">
        <v>496</v>
      </c>
      <c r="M127" s="3">
        <v>2020.0</v>
      </c>
      <c r="N127" s="23" t="s">
        <v>1439</v>
      </c>
      <c r="S127" s="21"/>
      <c r="T127" s="21"/>
    </row>
    <row r="128">
      <c r="A128" s="3" t="s">
        <v>968</v>
      </c>
      <c r="B128" s="3" t="s">
        <v>38</v>
      </c>
      <c r="C128" s="3" t="s">
        <v>969</v>
      </c>
      <c r="D128" s="3" t="s">
        <v>970</v>
      </c>
      <c r="E128" s="8" t="s">
        <v>52</v>
      </c>
      <c r="F128" s="7">
        <v>39092.0</v>
      </c>
      <c r="G128" s="3" t="s">
        <v>167</v>
      </c>
      <c r="H128" s="20">
        <v>3110000.0</v>
      </c>
      <c r="I128" s="20">
        <v>3110000.0</v>
      </c>
      <c r="J128" s="3" t="s">
        <v>68</v>
      </c>
      <c r="K128" s="3"/>
      <c r="L128" s="3" t="s">
        <v>496</v>
      </c>
      <c r="M128" s="3"/>
      <c r="N128" s="3"/>
      <c r="O128" s="1" t="s">
        <v>65</v>
      </c>
      <c r="S128" s="21"/>
      <c r="T128" s="21"/>
    </row>
    <row r="129">
      <c r="A129" s="3" t="s">
        <v>976</v>
      </c>
      <c r="B129" s="3" t="s">
        <v>59</v>
      </c>
      <c r="C129" s="3" t="s">
        <v>977</v>
      </c>
      <c r="D129" s="3" t="s">
        <v>171</v>
      </c>
      <c r="E129" s="8" t="s">
        <v>52</v>
      </c>
      <c r="F129" s="7">
        <v>44927.0</v>
      </c>
      <c r="G129" s="3" t="s">
        <v>59</v>
      </c>
      <c r="H129" s="20">
        <v>4904500.0</v>
      </c>
      <c r="I129" s="20">
        <v>3300000.0</v>
      </c>
      <c r="J129" s="3" t="s">
        <v>72</v>
      </c>
      <c r="K129" s="3">
        <v>30.0</v>
      </c>
      <c r="L129" s="3" t="s">
        <v>496</v>
      </c>
      <c r="M129" s="3">
        <v>2018.0</v>
      </c>
      <c r="N129" s="23" t="s">
        <v>1446</v>
      </c>
      <c r="S129" s="21"/>
      <c r="T129" s="21"/>
    </row>
    <row r="130">
      <c r="A130" s="3" t="s">
        <v>981</v>
      </c>
      <c r="B130" s="3" t="s">
        <v>59</v>
      </c>
      <c r="C130" s="3" t="s">
        <v>982</v>
      </c>
      <c r="D130" s="3" t="s">
        <v>188</v>
      </c>
      <c r="E130" s="8" t="s">
        <v>51</v>
      </c>
      <c r="F130" s="7">
        <v>45945.0</v>
      </c>
      <c r="G130" s="3" t="s">
        <v>59</v>
      </c>
      <c r="H130" s="20">
        <v>3400000.0</v>
      </c>
      <c r="I130" s="20">
        <v>3400000.0</v>
      </c>
      <c r="J130" s="3" t="s">
        <v>672</v>
      </c>
      <c r="K130" s="3">
        <v>45.0</v>
      </c>
      <c r="L130" s="3" t="s">
        <v>496</v>
      </c>
      <c r="M130" s="23" t="s">
        <v>1420</v>
      </c>
      <c r="N130" s="23" t="s">
        <v>1420</v>
      </c>
      <c r="S130" s="21"/>
      <c r="T130" s="21"/>
    </row>
    <row r="131">
      <c r="A131" s="3" t="s">
        <v>988</v>
      </c>
      <c r="B131" s="3" t="s">
        <v>685</v>
      </c>
      <c r="C131" s="3" t="s">
        <v>989</v>
      </c>
      <c r="D131" s="3" t="s">
        <v>46</v>
      </c>
      <c r="E131" s="8" t="s">
        <v>51</v>
      </c>
      <c r="F131" s="7">
        <v>45831.0</v>
      </c>
      <c r="G131" s="3" t="s">
        <v>364</v>
      </c>
      <c r="H131" s="20">
        <v>7.75E9</v>
      </c>
      <c r="I131" s="20">
        <v>3.5E9</v>
      </c>
      <c r="J131" s="3" t="s">
        <v>172</v>
      </c>
      <c r="K131" s="3"/>
      <c r="L131" s="3" t="s">
        <v>833</v>
      </c>
      <c r="M131" s="3"/>
      <c r="N131" s="3"/>
      <c r="O131" s="1" t="s">
        <v>65</v>
      </c>
      <c r="S131" s="21"/>
      <c r="T131" s="21"/>
    </row>
    <row r="132">
      <c r="A132" s="3" t="s">
        <v>992</v>
      </c>
      <c r="B132" s="3" t="s">
        <v>289</v>
      </c>
      <c r="C132" s="3" t="s">
        <v>994</v>
      </c>
      <c r="D132" s="3" t="s">
        <v>612</v>
      </c>
      <c r="E132" s="8" t="s">
        <v>51</v>
      </c>
      <c r="F132" s="7">
        <v>45931.0</v>
      </c>
      <c r="G132" s="3" t="s">
        <v>670</v>
      </c>
      <c r="H132" s="20">
        <v>6.3748062E7</v>
      </c>
      <c r="I132" s="20">
        <v>3.0E7</v>
      </c>
      <c r="J132" s="3" t="s">
        <v>672</v>
      </c>
      <c r="K132" s="3">
        <v>222.0</v>
      </c>
      <c r="L132" s="3" t="s">
        <v>514</v>
      </c>
      <c r="M132" s="3">
        <v>2022.0</v>
      </c>
      <c r="N132" s="23" t="s">
        <v>1460</v>
      </c>
      <c r="S132" s="21"/>
      <c r="T132" s="21"/>
    </row>
    <row r="133">
      <c r="A133" s="3" t="s">
        <v>1000</v>
      </c>
      <c r="B133" s="3" t="s">
        <v>76</v>
      </c>
      <c r="C133" s="3" t="s">
        <v>1001</v>
      </c>
      <c r="D133" s="3" t="s">
        <v>46</v>
      </c>
      <c r="E133" s="8" t="s">
        <v>51</v>
      </c>
      <c r="F133" s="7">
        <v>45776.0</v>
      </c>
      <c r="G133" s="3" t="s">
        <v>670</v>
      </c>
      <c r="H133" s="20">
        <v>1.49788405E8</v>
      </c>
      <c r="I133" s="20">
        <v>3.0E7</v>
      </c>
      <c r="J133" s="3" t="s">
        <v>72</v>
      </c>
      <c r="K133" s="3"/>
      <c r="L133" s="3" t="s">
        <v>538</v>
      </c>
      <c r="M133" s="3"/>
      <c r="N133" s="3"/>
      <c r="O133" s="1" t="s">
        <v>65</v>
      </c>
      <c r="S133" s="21"/>
      <c r="T133" s="21"/>
    </row>
    <row r="134">
      <c r="A134" s="3" t="s">
        <v>1004</v>
      </c>
      <c r="B134" s="3" t="s">
        <v>38</v>
      </c>
      <c r="C134" s="3" t="s">
        <v>1005</v>
      </c>
      <c r="D134" s="3" t="s">
        <v>171</v>
      </c>
      <c r="E134" s="8" t="s">
        <v>52</v>
      </c>
      <c r="F134" s="7">
        <v>45931.0</v>
      </c>
      <c r="G134" s="3" t="s">
        <v>68</v>
      </c>
      <c r="H134" s="20">
        <v>2.0682E8</v>
      </c>
      <c r="I134" s="20">
        <v>3.0E7</v>
      </c>
      <c r="J134" s="3" t="s">
        <v>172</v>
      </c>
      <c r="K134" s="3">
        <v>16.0</v>
      </c>
      <c r="L134" s="3" t="s">
        <v>496</v>
      </c>
      <c r="M134" s="3">
        <v>2023.0</v>
      </c>
      <c r="N134" s="23" t="s">
        <v>1465</v>
      </c>
      <c r="S134" s="21"/>
      <c r="T134" s="21"/>
    </row>
    <row r="135">
      <c r="A135" s="3" t="s">
        <v>1009</v>
      </c>
      <c r="B135" s="3" t="s">
        <v>59</v>
      </c>
      <c r="C135" s="3" t="s">
        <v>1011</v>
      </c>
      <c r="D135" s="3" t="s">
        <v>171</v>
      </c>
      <c r="E135" s="8" t="s">
        <v>52</v>
      </c>
      <c r="F135" s="7">
        <v>41737.0</v>
      </c>
      <c r="G135" s="3" t="s">
        <v>59</v>
      </c>
      <c r="H135" s="20">
        <v>30400.0</v>
      </c>
      <c r="I135" s="20">
        <v>30400.0</v>
      </c>
      <c r="J135" s="3" t="s">
        <v>68</v>
      </c>
      <c r="K135" s="3"/>
      <c r="L135" s="3" t="s">
        <v>496</v>
      </c>
      <c r="M135" s="3"/>
      <c r="N135" s="3"/>
      <c r="O135" s="1" t="s">
        <v>65</v>
      </c>
      <c r="S135" s="21"/>
      <c r="T135" s="21"/>
    </row>
    <row r="136">
      <c r="A136" s="3" t="s">
        <v>1014</v>
      </c>
      <c r="B136" s="3" t="s">
        <v>289</v>
      </c>
      <c r="C136" s="3" t="s">
        <v>541</v>
      </c>
      <c r="D136" s="3" t="s">
        <v>46</v>
      </c>
      <c r="E136" s="8" t="s">
        <v>51</v>
      </c>
      <c r="F136" s="7">
        <v>45707.0</v>
      </c>
      <c r="G136" s="3" t="s">
        <v>670</v>
      </c>
      <c r="H136" s="20">
        <v>4.876667E7</v>
      </c>
      <c r="I136" s="20">
        <v>3.05E7</v>
      </c>
      <c r="J136" s="3" t="s">
        <v>172</v>
      </c>
      <c r="K136" s="3">
        <v>288.0</v>
      </c>
      <c r="L136" s="3" t="s">
        <v>783</v>
      </c>
      <c r="M136" s="3">
        <v>2020.0</v>
      </c>
      <c r="N136" s="23" t="s">
        <v>1471</v>
      </c>
      <c r="S136" s="21"/>
      <c r="T136" s="21"/>
    </row>
    <row r="137">
      <c r="A137" s="3" t="s">
        <v>623</v>
      </c>
      <c r="B137" s="3" t="s">
        <v>59</v>
      </c>
      <c r="C137" s="3" t="s">
        <v>624</v>
      </c>
      <c r="D137" s="3" t="s">
        <v>464</v>
      </c>
      <c r="E137" s="8" t="s">
        <v>52</v>
      </c>
      <c r="F137" s="7">
        <v>45078.0</v>
      </c>
      <c r="G137" s="3" t="s">
        <v>59</v>
      </c>
      <c r="H137" s="20">
        <v>406400.0</v>
      </c>
      <c r="I137" s="20">
        <v>300000.0</v>
      </c>
      <c r="J137" s="3" t="s">
        <v>672</v>
      </c>
      <c r="K137" s="3">
        <v>61.0</v>
      </c>
      <c r="L137" s="3" t="s">
        <v>538</v>
      </c>
      <c r="M137" s="3">
        <v>2019.0</v>
      </c>
      <c r="N137" s="23" t="s">
        <v>627</v>
      </c>
      <c r="S137" s="21"/>
      <c r="T137" s="21"/>
    </row>
    <row r="138">
      <c r="A138" s="3" t="s">
        <v>1022</v>
      </c>
      <c r="B138" s="3" t="s">
        <v>685</v>
      </c>
      <c r="C138" s="3" t="s">
        <v>1023</v>
      </c>
      <c r="D138" s="3" t="s">
        <v>817</v>
      </c>
      <c r="E138" s="8" t="s">
        <v>51</v>
      </c>
      <c r="F138" s="7">
        <v>46071.0</v>
      </c>
      <c r="G138" s="3" t="s">
        <v>364</v>
      </c>
      <c r="H138" s="20">
        <v>3.56E9</v>
      </c>
      <c r="I138" s="20">
        <v>3.0E8</v>
      </c>
      <c r="J138" s="3" t="s">
        <v>672</v>
      </c>
      <c r="K138" s="3"/>
      <c r="L138" s="3" t="s">
        <v>833</v>
      </c>
      <c r="M138" s="3"/>
      <c r="N138" s="3"/>
      <c r="O138" s="1" t="s">
        <v>65</v>
      </c>
      <c r="S138" s="21"/>
      <c r="T138" s="21"/>
    </row>
    <row r="139">
      <c r="A139" s="3" t="s">
        <v>1028</v>
      </c>
      <c r="B139" s="3" t="s">
        <v>76</v>
      </c>
      <c r="C139" s="3" t="s">
        <v>1029</v>
      </c>
      <c r="D139" s="3" t="s">
        <v>171</v>
      </c>
      <c r="E139" s="8" t="s">
        <v>52</v>
      </c>
      <c r="F139" s="7">
        <v>44691.0</v>
      </c>
      <c r="G139" s="3" t="s">
        <v>670</v>
      </c>
      <c r="H139" s="20">
        <v>3.27E7</v>
      </c>
      <c r="I139" s="20">
        <v>3.1E7</v>
      </c>
      <c r="J139" s="3" t="s">
        <v>68</v>
      </c>
      <c r="K139" s="3"/>
      <c r="L139" s="3" t="s">
        <v>496</v>
      </c>
      <c r="M139" s="3"/>
      <c r="N139" s="3"/>
      <c r="O139" s="1" t="s">
        <v>65</v>
      </c>
      <c r="S139" s="21"/>
      <c r="T139" s="21"/>
    </row>
    <row r="140">
      <c r="A140" s="3" t="s">
        <v>1034</v>
      </c>
      <c r="B140" s="3" t="s">
        <v>59</v>
      </c>
      <c r="C140" s="3" t="s">
        <v>1035</v>
      </c>
      <c r="D140" s="3" t="s">
        <v>470</v>
      </c>
      <c r="E140" s="8" t="s">
        <v>52</v>
      </c>
      <c r="F140" s="7">
        <v>41875.0</v>
      </c>
      <c r="G140" s="3" t="s">
        <v>59</v>
      </c>
      <c r="H140" s="20">
        <v>328000.0</v>
      </c>
      <c r="I140" s="20">
        <v>328000.0</v>
      </c>
      <c r="J140" s="3" t="s">
        <v>68</v>
      </c>
      <c r="K140" s="3"/>
      <c r="L140" s="3" t="s">
        <v>496</v>
      </c>
      <c r="M140" s="3"/>
      <c r="N140" s="3"/>
      <c r="O140" s="1" t="s">
        <v>65</v>
      </c>
      <c r="S140" s="21"/>
      <c r="T140" s="21"/>
    </row>
    <row r="141">
      <c r="A141" s="3" t="s">
        <v>1038</v>
      </c>
      <c r="B141" s="3" t="s">
        <v>76</v>
      </c>
      <c r="C141" s="3" t="s">
        <v>1039</v>
      </c>
      <c r="D141" s="3" t="s">
        <v>46</v>
      </c>
      <c r="E141" s="8" t="s">
        <v>51</v>
      </c>
      <c r="F141" s="7">
        <v>45923.0</v>
      </c>
      <c r="G141" s="3" t="s">
        <v>670</v>
      </c>
      <c r="H141" s="20">
        <v>4.05E7</v>
      </c>
      <c r="I141" s="20">
        <v>3.5E7</v>
      </c>
      <c r="J141" s="3" t="s">
        <v>172</v>
      </c>
      <c r="K141" s="3">
        <v>126.0</v>
      </c>
      <c r="L141" s="3" t="s">
        <v>514</v>
      </c>
      <c r="M141" s="3">
        <v>2023.0</v>
      </c>
      <c r="N141" s="23" t="s">
        <v>1490</v>
      </c>
      <c r="S141" s="21"/>
      <c r="T141" s="21"/>
    </row>
    <row r="142">
      <c r="A142" s="3" t="s">
        <v>1046</v>
      </c>
      <c r="B142" s="3" t="s">
        <v>38</v>
      </c>
      <c r="C142" s="3" t="s">
        <v>1047</v>
      </c>
      <c r="D142" s="3" t="s">
        <v>171</v>
      </c>
      <c r="E142" s="8" t="s">
        <v>52</v>
      </c>
      <c r="F142" s="7">
        <v>40008.0</v>
      </c>
      <c r="G142" s="3" t="s">
        <v>68</v>
      </c>
      <c r="H142" s="20">
        <v>5250000.0</v>
      </c>
      <c r="I142" s="20">
        <v>4000000.0</v>
      </c>
      <c r="J142" s="3" t="s">
        <v>672</v>
      </c>
      <c r="K142" s="3">
        <v>53.0</v>
      </c>
      <c r="L142" s="3" t="s">
        <v>538</v>
      </c>
      <c r="M142" s="3">
        <v>2006.0</v>
      </c>
      <c r="N142" s="23" t="s">
        <v>1462</v>
      </c>
      <c r="S142" s="21"/>
      <c r="T142" s="21"/>
    </row>
    <row r="143">
      <c r="A143" s="3" t="s">
        <v>1050</v>
      </c>
      <c r="B143" s="3" t="s">
        <v>59</v>
      </c>
      <c r="C143" s="3" t="s">
        <v>1051</v>
      </c>
      <c r="D143" s="3" t="s">
        <v>171</v>
      </c>
      <c r="E143" s="8" t="s">
        <v>52</v>
      </c>
      <c r="F143" s="7">
        <v>44762.0</v>
      </c>
      <c r="G143" s="3" t="s">
        <v>59</v>
      </c>
      <c r="H143" s="20">
        <v>4300000.0</v>
      </c>
      <c r="I143" s="20">
        <v>4300000.0</v>
      </c>
      <c r="J143" s="3" t="s">
        <v>72</v>
      </c>
      <c r="K143" s="3">
        <v>11.0</v>
      </c>
      <c r="L143" s="3" t="s">
        <v>496</v>
      </c>
      <c r="M143" s="3">
        <v>2021.0</v>
      </c>
      <c r="N143" s="23" t="s">
        <v>1468</v>
      </c>
      <c r="S143" s="21"/>
      <c r="T143" s="21"/>
    </row>
    <row r="144">
      <c r="A144" s="3" t="s">
        <v>1055</v>
      </c>
      <c r="B144" s="3" t="s">
        <v>59</v>
      </c>
      <c r="C144" s="3" t="s">
        <v>1057</v>
      </c>
      <c r="D144" s="3" t="s">
        <v>908</v>
      </c>
      <c r="E144" s="8" t="s">
        <v>52</v>
      </c>
      <c r="F144" s="7">
        <v>44655.0</v>
      </c>
      <c r="G144" s="3" t="s">
        <v>59</v>
      </c>
      <c r="H144" s="20">
        <v>4500000.0</v>
      </c>
      <c r="I144" s="20">
        <v>4500000.0</v>
      </c>
      <c r="J144" s="3" t="s">
        <v>72</v>
      </c>
      <c r="K144" s="3"/>
      <c r="L144" s="3" t="s">
        <v>496</v>
      </c>
      <c r="M144" s="3"/>
      <c r="N144" s="3"/>
      <c r="O144" s="1" t="s">
        <v>65</v>
      </c>
      <c r="S144" s="21"/>
      <c r="T144" s="21"/>
    </row>
    <row r="145">
      <c r="A145" s="3" t="s">
        <v>1059</v>
      </c>
      <c r="B145" s="3" t="s">
        <v>38</v>
      </c>
      <c r="C145" s="3" t="s">
        <v>1060</v>
      </c>
      <c r="D145" s="3" t="s">
        <v>66</v>
      </c>
      <c r="E145" s="8" t="s">
        <v>52</v>
      </c>
      <c r="F145" s="7">
        <v>41834.0</v>
      </c>
      <c r="G145" s="3" t="s">
        <v>68</v>
      </c>
      <c r="H145" s="20">
        <v>4500000.0</v>
      </c>
      <c r="I145" s="20">
        <v>4500000.0</v>
      </c>
      <c r="J145" s="3" t="s">
        <v>68</v>
      </c>
      <c r="K145" s="3"/>
      <c r="L145" s="3" t="s">
        <v>496</v>
      </c>
      <c r="M145" s="3"/>
      <c r="N145" s="3"/>
      <c r="O145" s="1" t="s">
        <v>65</v>
      </c>
      <c r="S145" s="21"/>
      <c r="T145" s="21"/>
    </row>
    <row r="146">
      <c r="A146" s="3" t="s">
        <v>1065</v>
      </c>
      <c r="B146" s="3" t="s">
        <v>59</v>
      </c>
      <c r="C146" s="3" t="s">
        <v>1066</v>
      </c>
      <c r="D146" s="3" t="s">
        <v>46</v>
      </c>
      <c r="E146" s="8" t="s">
        <v>51</v>
      </c>
      <c r="F146" s="7">
        <v>46056.0</v>
      </c>
      <c r="G146" s="3" t="s">
        <v>59</v>
      </c>
      <c r="H146" s="20">
        <v>5100000.0</v>
      </c>
      <c r="I146" s="20">
        <v>4600000.0</v>
      </c>
      <c r="J146" s="3" t="s">
        <v>172</v>
      </c>
      <c r="K146" s="3">
        <v>26.0</v>
      </c>
      <c r="L146" s="3" t="s">
        <v>496</v>
      </c>
      <c r="M146" s="3">
        <v>2026.0</v>
      </c>
      <c r="N146" s="23" t="s">
        <v>1493</v>
      </c>
      <c r="S146" s="21"/>
      <c r="T146" s="21"/>
    </row>
    <row r="147">
      <c r="A147" s="3" t="s">
        <v>1070</v>
      </c>
      <c r="B147" s="3" t="s">
        <v>289</v>
      </c>
      <c r="C147" s="3" t="s">
        <v>1071</v>
      </c>
      <c r="D147" s="3" t="s">
        <v>1072</v>
      </c>
      <c r="E147" s="8" t="s">
        <v>51</v>
      </c>
      <c r="F147" s="7">
        <v>45762.0</v>
      </c>
      <c r="G147" s="3" t="s">
        <v>670</v>
      </c>
      <c r="H147" s="20">
        <v>5.6613109E7</v>
      </c>
      <c r="I147" s="20">
        <v>4.0E7</v>
      </c>
      <c r="J147" s="3" t="s">
        <v>72</v>
      </c>
      <c r="K147" s="3">
        <v>1034.0</v>
      </c>
      <c r="L147" s="3" t="s">
        <v>1144</v>
      </c>
      <c r="M147" s="3">
        <v>2018.0</v>
      </c>
      <c r="N147" s="23" t="s">
        <v>1522</v>
      </c>
      <c r="S147" s="21"/>
      <c r="T147" s="21"/>
    </row>
    <row r="148">
      <c r="A148" s="3" t="s">
        <v>1076</v>
      </c>
      <c r="B148" s="3" t="s">
        <v>289</v>
      </c>
      <c r="C148" s="3" t="s">
        <v>1077</v>
      </c>
      <c r="D148" s="3" t="s">
        <v>46</v>
      </c>
      <c r="E148" s="8" t="s">
        <v>51</v>
      </c>
      <c r="F148" s="7">
        <v>44753.0</v>
      </c>
      <c r="G148" s="3" t="s">
        <v>670</v>
      </c>
      <c r="H148" s="20">
        <v>4.5784583E7</v>
      </c>
      <c r="I148" s="20">
        <v>4.0E7</v>
      </c>
      <c r="J148" s="3" t="s">
        <v>72</v>
      </c>
      <c r="K148" s="3"/>
      <c r="L148" s="3" t="s">
        <v>514</v>
      </c>
      <c r="M148" s="3"/>
      <c r="N148" s="3"/>
      <c r="O148" s="1" t="s">
        <v>65</v>
      </c>
      <c r="S148" s="21"/>
      <c r="T148" s="21"/>
    </row>
    <row r="149">
      <c r="A149" s="3" t="s">
        <v>651</v>
      </c>
      <c r="B149" s="3" t="s">
        <v>59</v>
      </c>
      <c r="C149" s="3" t="s">
        <v>652</v>
      </c>
      <c r="D149" s="3" t="s">
        <v>188</v>
      </c>
      <c r="E149" s="8" t="s">
        <v>51</v>
      </c>
      <c r="F149" s="7">
        <v>43831.0</v>
      </c>
      <c r="G149" s="3" t="s">
        <v>59</v>
      </c>
      <c r="H149" s="20">
        <v>735093.0</v>
      </c>
      <c r="I149" s="20">
        <v>400000.0</v>
      </c>
      <c r="J149" s="3" t="s">
        <v>672</v>
      </c>
      <c r="K149" s="3">
        <v>19.0</v>
      </c>
      <c r="L149" s="3" t="s">
        <v>496</v>
      </c>
      <c r="M149" s="3">
        <v>2019.0</v>
      </c>
      <c r="N149" s="23" t="s">
        <v>1529</v>
      </c>
      <c r="S149" s="21"/>
      <c r="T149" s="21"/>
    </row>
    <row r="150">
      <c r="A150" s="3" t="s">
        <v>1084</v>
      </c>
      <c r="B150" s="3" t="s">
        <v>289</v>
      </c>
      <c r="C150" s="3" t="s">
        <v>1085</v>
      </c>
      <c r="D150" s="3" t="s">
        <v>46</v>
      </c>
      <c r="E150" s="8" t="s">
        <v>51</v>
      </c>
      <c r="F150" s="7">
        <v>45959.0</v>
      </c>
      <c r="G150" s="3" t="s">
        <v>670</v>
      </c>
      <c r="H150" s="20">
        <v>8.9029037E7</v>
      </c>
      <c r="I150" s="20">
        <v>4.5E7</v>
      </c>
      <c r="J150" s="3" t="s">
        <v>672</v>
      </c>
      <c r="K150" s="3"/>
      <c r="L150" s="3" t="s">
        <v>514</v>
      </c>
      <c r="M150" s="3"/>
      <c r="N150" s="3"/>
      <c r="O150" s="1" t="s">
        <v>65</v>
      </c>
      <c r="S150" s="21"/>
      <c r="T150" s="21"/>
    </row>
    <row r="151">
      <c r="A151" s="3" t="s">
        <v>1091</v>
      </c>
      <c r="B151" s="3" t="s">
        <v>289</v>
      </c>
      <c r="C151" s="3" t="s">
        <v>1092</v>
      </c>
      <c r="D151" s="3" t="s">
        <v>46</v>
      </c>
      <c r="E151" s="8" t="s">
        <v>51</v>
      </c>
      <c r="F151" s="7">
        <v>44662.0</v>
      </c>
      <c r="G151" s="3" t="s">
        <v>670</v>
      </c>
      <c r="H151" s="20">
        <v>5.9956555E7</v>
      </c>
      <c r="I151" s="20">
        <v>4.5E7</v>
      </c>
      <c r="J151" s="3" t="s">
        <v>72</v>
      </c>
      <c r="K151" s="3">
        <v>176.0</v>
      </c>
      <c r="L151" s="3" t="s">
        <v>538</v>
      </c>
      <c r="M151" s="3">
        <v>2018.0</v>
      </c>
      <c r="N151" s="23" t="s">
        <v>1539</v>
      </c>
      <c r="S151" s="21"/>
      <c r="T151" s="21"/>
    </row>
    <row r="152">
      <c r="A152" s="3" t="s">
        <v>1094</v>
      </c>
      <c r="B152" s="3" t="s">
        <v>59</v>
      </c>
      <c r="C152" s="3" t="s">
        <v>1096</v>
      </c>
      <c r="D152" s="3" t="s">
        <v>46</v>
      </c>
      <c r="E152" s="8" t="s">
        <v>51</v>
      </c>
      <c r="F152" s="7">
        <v>46036.0</v>
      </c>
      <c r="G152" s="3" t="s">
        <v>59</v>
      </c>
      <c r="H152" s="20">
        <v>1.0116153E7</v>
      </c>
      <c r="I152" s="20">
        <v>5000000.0</v>
      </c>
      <c r="J152" s="3" t="s">
        <v>172</v>
      </c>
      <c r="K152" s="3">
        <v>39.0</v>
      </c>
      <c r="L152" s="3" t="s">
        <v>496</v>
      </c>
      <c r="M152" s="3">
        <v>2023.0</v>
      </c>
      <c r="N152" s="23" t="s">
        <v>1520</v>
      </c>
      <c r="S152" s="21"/>
      <c r="T152" s="21"/>
    </row>
    <row r="153">
      <c r="A153" s="3" t="s">
        <v>1101</v>
      </c>
      <c r="B153" s="3" t="s">
        <v>59</v>
      </c>
      <c r="C153" s="3" t="s">
        <v>1102</v>
      </c>
      <c r="D153" s="3" t="s">
        <v>46</v>
      </c>
      <c r="E153" s="8" t="s">
        <v>51</v>
      </c>
      <c r="F153" s="7">
        <v>45709.0</v>
      </c>
      <c r="G153" s="3" t="s">
        <v>167</v>
      </c>
      <c r="H153" s="20">
        <v>6500000.0</v>
      </c>
      <c r="I153" s="20">
        <v>5000000.0</v>
      </c>
      <c r="J153" s="3" t="s">
        <v>172</v>
      </c>
      <c r="K153" s="3"/>
      <c r="L153" s="3" t="s">
        <v>496</v>
      </c>
      <c r="M153" s="3"/>
      <c r="N153" s="3"/>
      <c r="O153" s="1" t="s">
        <v>65</v>
      </c>
      <c r="S153" s="21"/>
      <c r="T153" s="21"/>
    </row>
    <row r="154">
      <c r="A154" s="3" t="s">
        <v>1108</v>
      </c>
      <c r="B154" s="3" t="s">
        <v>38</v>
      </c>
      <c r="C154" s="3" t="s">
        <v>1109</v>
      </c>
      <c r="D154" s="3" t="s">
        <v>66</v>
      </c>
      <c r="E154" s="8" t="s">
        <v>52</v>
      </c>
      <c r="F154" s="7">
        <v>45700.0</v>
      </c>
      <c r="G154" s="3" t="s">
        <v>68</v>
      </c>
      <c r="H154" s="20">
        <v>2.25E7</v>
      </c>
      <c r="I154" s="20">
        <v>5200000.0</v>
      </c>
      <c r="J154" s="3" t="s">
        <v>72</v>
      </c>
      <c r="K154" s="3">
        <v>91.0</v>
      </c>
      <c r="L154" s="3" t="s">
        <v>538</v>
      </c>
      <c r="M154" s="3">
        <v>2014.0</v>
      </c>
      <c r="N154" s="23" t="s">
        <v>1533</v>
      </c>
      <c r="S154" s="21"/>
      <c r="T154" s="21"/>
    </row>
    <row r="155">
      <c r="A155" s="3" t="s">
        <v>1112</v>
      </c>
      <c r="B155" s="3" t="s">
        <v>76</v>
      </c>
      <c r="C155" s="3" t="s">
        <v>1113</v>
      </c>
      <c r="D155" s="3" t="s">
        <v>46</v>
      </c>
      <c r="E155" s="8" t="s">
        <v>51</v>
      </c>
      <c r="F155" s="7">
        <v>46067.0</v>
      </c>
      <c r="G155" s="3" t="s">
        <v>670</v>
      </c>
      <c r="H155" s="20">
        <v>1.0611877E7</v>
      </c>
      <c r="I155" s="20">
        <v>5800000.0</v>
      </c>
      <c r="J155" s="3" t="s">
        <v>672</v>
      </c>
      <c r="K155" s="3">
        <v>76.0</v>
      </c>
      <c r="L155" s="3" t="s">
        <v>538</v>
      </c>
      <c r="M155" s="3">
        <v>2018.0</v>
      </c>
      <c r="N155" s="23" t="s">
        <v>1567</v>
      </c>
      <c r="S155" s="21"/>
      <c r="T155" s="21"/>
    </row>
    <row r="156">
      <c r="A156" s="3" t="s">
        <v>678</v>
      </c>
      <c r="B156" s="3" t="s">
        <v>76</v>
      </c>
      <c r="C156" s="3" t="s">
        <v>682</v>
      </c>
      <c r="D156" s="3" t="s">
        <v>675</v>
      </c>
      <c r="E156" s="8" t="s">
        <v>52</v>
      </c>
      <c r="F156" s="7">
        <v>45311.0</v>
      </c>
      <c r="G156" s="3" t="s">
        <v>670</v>
      </c>
      <c r="H156" s="20">
        <v>500000.0</v>
      </c>
      <c r="I156" s="20">
        <v>500000.0</v>
      </c>
      <c r="J156" s="3" t="s">
        <v>172</v>
      </c>
      <c r="K156" s="3"/>
      <c r="L156" s="3" t="s">
        <v>496</v>
      </c>
      <c r="M156" s="3">
        <v>2023.0</v>
      </c>
      <c r="N156" s="23" t="s">
        <v>683</v>
      </c>
      <c r="S156" s="21"/>
      <c r="T156" s="21"/>
    </row>
    <row r="157">
      <c r="A157" s="3" t="s">
        <v>1120</v>
      </c>
      <c r="B157" s="3" t="s">
        <v>38</v>
      </c>
      <c r="C157" s="3" t="s">
        <v>1121</v>
      </c>
      <c r="D157" s="3" t="s">
        <v>46</v>
      </c>
      <c r="E157" s="8" t="s">
        <v>51</v>
      </c>
      <c r="F157" s="7">
        <v>43816.0</v>
      </c>
      <c r="G157" s="3" t="s">
        <v>364</v>
      </c>
      <c r="H157" s="20">
        <v>8.267585E7</v>
      </c>
      <c r="I157" s="20">
        <v>5.4E7</v>
      </c>
      <c r="J157" s="3" t="s">
        <v>72</v>
      </c>
      <c r="K157" s="3">
        <v>802.0</v>
      </c>
      <c r="L157" s="3" t="s">
        <v>1144</v>
      </c>
      <c r="M157" s="3">
        <v>2023.0</v>
      </c>
      <c r="N157" s="23" t="s">
        <v>1584</v>
      </c>
      <c r="S157" s="21"/>
      <c r="T157" s="21"/>
    </row>
    <row r="158">
      <c r="A158" s="3" t="s">
        <v>1127</v>
      </c>
      <c r="B158" s="3" t="s">
        <v>289</v>
      </c>
      <c r="C158" s="3" t="s">
        <v>1128</v>
      </c>
      <c r="D158" s="3" t="s">
        <v>46</v>
      </c>
      <c r="E158" s="8" t="s">
        <v>51</v>
      </c>
      <c r="F158" s="7">
        <v>44678.0</v>
      </c>
      <c r="G158" s="3" t="s">
        <v>670</v>
      </c>
      <c r="H158" s="20">
        <v>8.0358865E7</v>
      </c>
      <c r="I158" s="20">
        <v>5.5E7</v>
      </c>
      <c r="J158" s="3" t="s">
        <v>72</v>
      </c>
      <c r="K158" s="3">
        <v>99.0</v>
      </c>
      <c r="L158" s="3" t="s">
        <v>514</v>
      </c>
      <c r="M158" s="3">
        <v>2021.0</v>
      </c>
      <c r="N158" s="23" t="s">
        <v>1594</v>
      </c>
      <c r="S158" s="21"/>
      <c r="T158" s="21"/>
    </row>
    <row r="159">
      <c r="A159" s="3" t="s">
        <v>1133</v>
      </c>
      <c r="B159" s="3" t="s">
        <v>289</v>
      </c>
      <c r="C159" s="3" t="s">
        <v>1134</v>
      </c>
      <c r="D159" s="3" t="s">
        <v>46</v>
      </c>
      <c r="E159" s="8" t="s">
        <v>51</v>
      </c>
      <c r="F159" s="7">
        <v>45503.0</v>
      </c>
      <c r="G159" s="3" t="s">
        <v>670</v>
      </c>
      <c r="H159" s="20">
        <v>8.955E7</v>
      </c>
      <c r="I159" s="20">
        <v>5.5E7</v>
      </c>
      <c r="J159" s="3" t="s">
        <v>672</v>
      </c>
      <c r="K159" s="3">
        <v>405.0</v>
      </c>
      <c r="L159" s="3" t="s">
        <v>905</v>
      </c>
      <c r="M159" s="3">
        <v>2019.0</v>
      </c>
      <c r="N159" s="23" t="s">
        <v>1600</v>
      </c>
      <c r="S159" s="21"/>
      <c r="T159" s="21"/>
    </row>
    <row r="160">
      <c r="A160" s="3" t="s">
        <v>1136</v>
      </c>
      <c r="B160" s="3" t="s">
        <v>59</v>
      </c>
      <c r="C160" s="3" t="s">
        <v>1137</v>
      </c>
      <c r="D160" s="3" t="s">
        <v>46</v>
      </c>
      <c r="E160" s="8" t="s">
        <v>51</v>
      </c>
      <c r="F160" s="7">
        <v>44629.0</v>
      </c>
      <c r="G160" s="3" t="s">
        <v>59</v>
      </c>
      <c r="H160" s="20">
        <v>6000000.0</v>
      </c>
      <c r="I160" s="20">
        <v>6000000.0</v>
      </c>
      <c r="J160" s="3" t="s">
        <v>172</v>
      </c>
      <c r="K160" s="3"/>
      <c r="L160" s="3" t="s">
        <v>496</v>
      </c>
      <c r="M160" s="3"/>
      <c r="N160" s="3"/>
      <c r="O160" s="1" t="s">
        <v>65</v>
      </c>
      <c r="S160" s="21"/>
      <c r="T160" s="21"/>
    </row>
    <row r="161">
      <c r="A161" s="3" t="s">
        <v>1140</v>
      </c>
      <c r="B161" s="3" t="s">
        <v>685</v>
      </c>
      <c r="C161" s="3" t="s">
        <v>1141</v>
      </c>
      <c r="D161" s="3" t="s">
        <v>46</v>
      </c>
      <c r="E161" s="8" t="s">
        <v>51</v>
      </c>
      <c r="F161" s="7">
        <v>45996.0</v>
      </c>
      <c r="G161" s="3" t="s">
        <v>364</v>
      </c>
      <c r="H161" s="20">
        <v>6000000.0</v>
      </c>
      <c r="I161" s="20">
        <v>6000000.0</v>
      </c>
      <c r="J161" s="3" t="s">
        <v>172</v>
      </c>
      <c r="K161" s="3"/>
      <c r="L161" s="3" t="s">
        <v>783</v>
      </c>
      <c r="M161" s="3"/>
      <c r="N161" s="3"/>
      <c r="O161" s="1" t="s">
        <v>65</v>
      </c>
      <c r="S161" s="21"/>
      <c r="T161" s="21"/>
    </row>
    <row r="162">
      <c r="A162" s="3" t="s">
        <v>1143</v>
      </c>
      <c r="B162" s="3" t="s">
        <v>59</v>
      </c>
      <c r="C162" s="3" t="s">
        <v>422</v>
      </c>
      <c r="D162" s="3" t="s">
        <v>817</v>
      </c>
      <c r="E162" s="8" t="s">
        <v>51</v>
      </c>
      <c r="F162" s="7">
        <v>45475.0</v>
      </c>
      <c r="G162" s="3" t="s">
        <v>59</v>
      </c>
      <c r="H162" s="20">
        <v>6000000.0</v>
      </c>
      <c r="I162" s="20">
        <v>6000000.0</v>
      </c>
      <c r="J162" s="3" t="s">
        <v>172</v>
      </c>
      <c r="K162" s="3">
        <v>59.0</v>
      </c>
      <c r="L162" s="3" t="s">
        <v>538</v>
      </c>
      <c r="M162" s="3">
        <v>2023.0</v>
      </c>
      <c r="N162" s="23" t="s">
        <v>1604</v>
      </c>
      <c r="S162" s="21"/>
      <c r="T162" s="21"/>
    </row>
    <row r="163" ht="15.0" customHeight="1">
      <c r="A163" s="3" t="s">
        <v>1146</v>
      </c>
      <c r="B163" s="3" t="s">
        <v>76</v>
      </c>
      <c r="C163" s="3" t="s">
        <v>1147</v>
      </c>
      <c r="D163" s="3" t="s">
        <v>171</v>
      </c>
      <c r="E163" s="8" t="s">
        <v>52</v>
      </c>
      <c r="F163" s="7">
        <v>45910.0</v>
      </c>
      <c r="G163" s="3" t="s">
        <v>670</v>
      </c>
      <c r="H163" s="20">
        <v>1.2134606E7</v>
      </c>
      <c r="I163" s="20">
        <v>6000000.0</v>
      </c>
      <c r="J163" s="3" t="s">
        <v>672</v>
      </c>
      <c r="K163" s="3">
        <v>77.0</v>
      </c>
      <c r="L163" s="3" t="s">
        <v>538</v>
      </c>
      <c r="M163" s="3">
        <v>2018.0</v>
      </c>
      <c r="N163" s="23" t="s">
        <v>1611</v>
      </c>
      <c r="S163" s="21"/>
      <c r="T163" s="21"/>
    </row>
    <row r="164">
      <c r="A164" s="3" t="s">
        <v>1151</v>
      </c>
      <c r="B164" s="3" t="s">
        <v>752</v>
      </c>
      <c r="C164" s="3" t="s">
        <v>1152</v>
      </c>
      <c r="D164" s="3" t="s">
        <v>408</v>
      </c>
      <c r="E164" s="8" t="s">
        <v>52</v>
      </c>
      <c r="F164" s="7">
        <v>39085.0</v>
      </c>
      <c r="G164" s="3" t="s">
        <v>167</v>
      </c>
      <c r="H164" s="20">
        <v>2.75E7</v>
      </c>
      <c r="I164" s="20">
        <v>6600000.0</v>
      </c>
      <c r="J164" s="3" t="s">
        <v>172</v>
      </c>
      <c r="K164" s="3"/>
      <c r="L164" s="3" t="s">
        <v>496</v>
      </c>
      <c r="M164" s="3"/>
      <c r="N164" s="3"/>
      <c r="O164" s="1" t="s">
        <v>65</v>
      </c>
      <c r="S164" s="21"/>
      <c r="T164" s="21"/>
    </row>
    <row r="165">
      <c r="A165" s="3" t="s">
        <v>1157</v>
      </c>
      <c r="B165" s="3" t="s">
        <v>752</v>
      </c>
      <c r="C165" s="3" t="s">
        <v>1158</v>
      </c>
      <c r="D165" s="3" t="s">
        <v>46</v>
      </c>
      <c r="E165" s="8" t="s">
        <v>51</v>
      </c>
      <c r="F165" s="7">
        <v>45615.0</v>
      </c>
      <c r="G165" s="3" t="s">
        <v>736</v>
      </c>
      <c r="H165" s="20">
        <v>2.3E8</v>
      </c>
      <c r="I165" s="20">
        <v>6.0E7</v>
      </c>
      <c r="J165" s="3" t="s">
        <v>672</v>
      </c>
      <c r="K165" s="3">
        <v>1442.0</v>
      </c>
      <c r="L165" s="3" t="s">
        <v>1144</v>
      </c>
      <c r="M165" s="3">
        <v>2023.0</v>
      </c>
      <c r="N165" s="23" t="s">
        <v>1621</v>
      </c>
      <c r="S165" s="21"/>
      <c r="T165" s="21"/>
    </row>
    <row r="166">
      <c r="A166" s="3" t="s">
        <v>1162</v>
      </c>
      <c r="B166" s="3" t="s">
        <v>289</v>
      </c>
      <c r="C166" s="3" t="s">
        <v>1164</v>
      </c>
      <c r="D166" s="3" t="s">
        <v>46</v>
      </c>
      <c r="E166" s="8" t="s">
        <v>51</v>
      </c>
      <c r="F166" s="7">
        <v>45869.0</v>
      </c>
      <c r="G166" s="3" t="s">
        <v>670</v>
      </c>
      <c r="H166" s="20">
        <v>3.75E8</v>
      </c>
      <c r="I166" s="20">
        <v>6.3E7</v>
      </c>
      <c r="J166" s="3" t="s">
        <v>672</v>
      </c>
      <c r="K166" s="3">
        <v>439.0</v>
      </c>
      <c r="L166" s="3" t="s">
        <v>905</v>
      </c>
      <c r="M166" s="3">
        <v>2018.0</v>
      </c>
      <c r="N166" s="23" t="s">
        <v>1630</v>
      </c>
      <c r="S166" s="21"/>
      <c r="T166" s="21"/>
    </row>
    <row r="167">
      <c r="A167" s="3" t="s">
        <v>527</v>
      </c>
      <c r="B167" s="3" t="s">
        <v>59</v>
      </c>
      <c r="C167" s="3" t="s">
        <v>528</v>
      </c>
      <c r="D167" s="3" t="s">
        <v>171</v>
      </c>
      <c r="E167" s="8" t="s">
        <v>52</v>
      </c>
      <c r="F167" s="7">
        <v>45168.0</v>
      </c>
      <c r="G167" s="3" t="s">
        <v>59</v>
      </c>
      <c r="H167" s="20">
        <v>103000.0</v>
      </c>
      <c r="I167" s="20">
        <v>65000.0</v>
      </c>
      <c r="J167" s="3" t="s">
        <v>172</v>
      </c>
      <c r="K167" s="3"/>
      <c r="L167" s="3" t="s">
        <v>496</v>
      </c>
      <c r="M167" s="3">
        <v>2021.0</v>
      </c>
      <c r="N167" s="23" t="s">
        <v>534</v>
      </c>
      <c r="S167" s="21"/>
      <c r="T167" s="21"/>
    </row>
    <row r="168">
      <c r="A168" s="3" t="s">
        <v>1171</v>
      </c>
      <c r="B168" s="3" t="s">
        <v>76</v>
      </c>
      <c r="C168" s="3" t="s">
        <v>1172</v>
      </c>
      <c r="D168" s="3" t="s">
        <v>66</v>
      </c>
      <c r="E168" s="8" t="s">
        <v>52</v>
      </c>
      <c r="F168" s="7">
        <v>44845.0</v>
      </c>
      <c r="G168" s="3" t="s">
        <v>670</v>
      </c>
      <c r="H168" s="20">
        <v>1.6048983E7</v>
      </c>
      <c r="I168" s="20">
        <v>7150000.0</v>
      </c>
      <c r="J168" s="3" t="s">
        <v>72</v>
      </c>
      <c r="K168" s="3">
        <v>33.0</v>
      </c>
      <c r="L168" s="3" t="s">
        <v>496</v>
      </c>
      <c r="M168" s="3">
        <v>2016.0</v>
      </c>
      <c r="N168" s="23" t="s">
        <v>1641</v>
      </c>
      <c r="S168" s="21"/>
      <c r="T168" s="21"/>
    </row>
    <row r="169">
      <c r="A169" s="3" t="s">
        <v>1179</v>
      </c>
      <c r="B169" s="3" t="s">
        <v>289</v>
      </c>
      <c r="C169" s="3" t="s">
        <v>1180</v>
      </c>
      <c r="D169" s="3" t="s">
        <v>970</v>
      </c>
      <c r="E169" s="8" t="s">
        <v>52</v>
      </c>
      <c r="F169" s="7">
        <v>39579.0</v>
      </c>
      <c r="G169" s="3" t="s">
        <v>670</v>
      </c>
      <c r="H169" s="20">
        <v>7720000.0</v>
      </c>
      <c r="I169" s="20">
        <v>7720000.0</v>
      </c>
      <c r="J169" s="3" t="s">
        <v>68</v>
      </c>
      <c r="K169" s="3"/>
      <c r="L169" s="3" t="s">
        <v>496</v>
      </c>
      <c r="M169" s="3"/>
      <c r="N169" s="3"/>
      <c r="O169" s="1" t="s">
        <v>65</v>
      </c>
      <c r="S169" s="21"/>
      <c r="T169" s="21"/>
    </row>
    <row r="170">
      <c r="A170" s="3" t="s">
        <v>757</v>
      </c>
      <c r="B170" s="3" t="s">
        <v>59</v>
      </c>
      <c r="C170" s="3" t="s">
        <v>759</v>
      </c>
      <c r="D170" s="3" t="s">
        <v>46</v>
      </c>
      <c r="E170" s="8" t="s">
        <v>51</v>
      </c>
      <c r="F170" s="7">
        <v>45931.0</v>
      </c>
      <c r="G170" s="3" t="s">
        <v>59</v>
      </c>
      <c r="H170" s="20">
        <v>1450000.0</v>
      </c>
      <c r="I170" s="20">
        <v>700000.0</v>
      </c>
      <c r="J170" s="3" t="s">
        <v>72</v>
      </c>
      <c r="K170" s="3">
        <v>52.0</v>
      </c>
      <c r="L170" s="3" t="s">
        <v>496</v>
      </c>
      <c r="M170" s="3">
        <v>2022.0</v>
      </c>
      <c r="N170" s="23" t="s">
        <v>761</v>
      </c>
      <c r="S170" s="21"/>
      <c r="T170" s="21"/>
    </row>
    <row r="171">
      <c r="A171" s="3" t="s">
        <v>1187</v>
      </c>
      <c r="B171" s="3" t="s">
        <v>565</v>
      </c>
      <c r="C171" s="3" t="s">
        <v>1188</v>
      </c>
      <c r="D171" s="3" t="s">
        <v>397</v>
      </c>
      <c r="E171" s="8" t="s">
        <v>52</v>
      </c>
      <c r="F171" s="7">
        <v>45932.0</v>
      </c>
      <c r="G171" s="3" t="s">
        <v>1189</v>
      </c>
      <c r="H171" s="20">
        <v>3.52465392E8</v>
      </c>
      <c r="I171" s="20">
        <v>7.5E7</v>
      </c>
      <c r="J171" s="3" t="s">
        <v>672</v>
      </c>
      <c r="K171" s="3">
        <v>828.0</v>
      </c>
      <c r="L171" s="3" t="s">
        <v>783</v>
      </c>
      <c r="M171" s="3">
        <v>2011.0</v>
      </c>
      <c r="N171" s="23" t="s">
        <v>1654</v>
      </c>
      <c r="S171" s="21"/>
      <c r="T171" s="21"/>
    </row>
    <row r="172">
      <c r="A172" s="3" t="s">
        <v>798</v>
      </c>
      <c r="B172" s="3" t="s">
        <v>59</v>
      </c>
      <c r="C172" s="3" t="s">
        <v>799</v>
      </c>
      <c r="D172" s="3" t="s">
        <v>171</v>
      </c>
      <c r="E172" s="8" t="s">
        <v>52</v>
      </c>
      <c r="F172" s="7">
        <v>43861.0</v>
      </c>
      <c r="G172" s="3" t="s">
        <v>59</v>
      </c>
      <c r="H172" s="20">
        <v>1000000.0</v>
      </c>
      <c r="I172" s="20">
        <v>750000.0</v>
      </c>
      <c r="J172" s="3" t="s">
        <v>672</v>
      </c>
      <c r="K172" s="3"/>
      <c r="L172" s="3" t="s">
        <v>496</v>
      </c>
      <c r="M172" s="3">
        <v>2017.0</v>
      </c>
      <c r="N172" s="23" t="s">
        <v>801</v>
      </c>
      <c r="S172" s="21"/>
      <c r="T172" s="21"/>
    </row>
    <row r="173">
      <c r="A173" s="3" t="s">
        <v>1198</v>
      </c>
      <c r="B173" s="3" t="s">
        <v>685</v>
      </c>
      <c r="C173" s="3" t="s">
        <v>1199</v>
      </c>
      <c r="D173" s="3" t="s">
        <v>188</v>
      </c>
      <c r="E173" s="8" t="s">
        <v>51</v>
      </c>
      <c r="F173" s="7">
        <v>45681.0</v>
      </c>
      <c r="G173" s="3" t="s">
        <v>364</v>
      </c>
      <c r="H173" s="20">
        <v>8.88E9</v>
      </c>
      <c r="I173" s="20">
        <v>7.5E8</v>
      </c>
      <c r="J173" s="3" t="s">
        <v>72</v>
      </c>
      <c r="K173" s="3"/>
      <c r="L173" s="3" t="s">
        <v>833</v>
      </c>
      <c r="M173" s="3"/>
      <c r="N173" s="3"/>
      <c r="O173" s="1" t="s">
        <v>65</v>
      </c>
      <c r="S173" s="21"/>
      <c r="T173" s="21"/>
    </row>
    <row r="174">
      <c r="A174" s="3" t="s">
        <v>1202</v>
      </c>
      <c r="B174" s="3" t="s">
        <v>76</v>
      </c>
      <c r="C174" s="3" t="s">
        <v>1204</v>
      </c>
      <c r="D174" s="3" t="s">
        <v>171</v>
      </c>
      <c r="E174" s="8" t="s">
        <v>52</v>
      </c>
      <c r="F174" s="7">
        <v>39582.0</v>
      </c>
      <c r="G174" s="3" t="s">
        <v>670</v>
      </c>
      <c r="H174" s="20">
        <v>794000.0</v>
      </c>
      <c r="I174" s="20">
        <v>794000.0</v>
      </c>
      <c r="J174" s="3" t="s">
        <v>172</v>
      </c>
      <c r="K174" s="3">
        <v>22.0</v>
      </c>
      <c r="L174" s="3" t="s">
        <v>496</v>
      </c>
      <c r="M174" s="3">
        <v>2000.0</v>
      </c>
      <c r="N174" s="23" t="s">
        <v>1670</v>
      </c>
      <c r="O174" s="1" t="s">
        <v>65</v>
      </c>
      <c r="S174" s="21"/>
      <c r="T174" s="21"/>
    </row>
    <row r="175">
      <c r="A175" s="3" t="s">
        <v>1207</v>
      </c>
      <c r="B175" s="3" t="s">
        <v>76</v>
      </c>
      <c r="C175" s="3" t="s">
        <v>1208</v>
      </c>
      <c r="D175" s="3" t="s">
        <v>46</v>
      </c>
      <c r="E175" s="8" t="s">
        <v>51</v>
      </c>
      <c r="F175" s="7">
        <v>45569.0</v>
      </c>
      <c r="G175" s="3" t="s">
        <v>670</v>
      </c>
      <c r="H175" s="20">
        <v>1.22E7</v>
      </c>
      <c r="I175" s="20">
        <v>8000000.0</v>
      </c>
      <c r="J175" s="3" t="s">
        <v>72</v>
      </c>
      <c r="K175" s="3">
        <v>103.0</v>
      </c>
      <c r="L175" s="3" t="s">
        <v>538</v>
      </c>
      <c r="M175" s="3">
        <v>2021.0</v>
      </c>
      <c r="N175" s="23" t="s">
        <v>1680</v>
      </c>
      <c r="S175" s="21"/>
      <c r="T175" s="21"/>
    </row>
    <row r="176">
      <c r="A176" s="3" t="s">
        <v>1213</v>
      </c>
      <c r="B176" s="3" t="s">
        <v>59</v>
      </c>
      <c r="C176" s="3" t="s">
        <v>1214</v>
      </c>
      <c r="D176" s="3" t="s">
        <v>171</v>
      </c>
      <c r="E176" s="8" t="s">
        <v>52</v>
      </c>
      <c r="F176" s="7">
        <v>44882.0</v>
      </c>
      <c r="G176" s="3" t="s">
        <v>59</v>
      </c>
      <c r="H176" s="20">
        <v>5403293.0</v>
      </c>
      <c r="I176" s="20">
        <v>800000.0</v>
      </c>
      <c r="J176" s="3" t="s">
        <v>72</v>
      </c>
      <c r="K176" s="3"/>
      <c r="L176" s="3" t="s">
        <v>496</v>
      </c>
      <c r="M176" s="3"/>
      <c r="N176" s="3"/>
      <c r="O176" s="1" t="s">
        <v>65</v>
      </c>
      <c r="S176" s="21"/>
      <c r="T176" s="21"/>
    </row>
    <row r="177">
      <c r="A177" s="3" t="s">
        <v>1218</v>
      </c>
      <c r="B177" s="3" t="s">
        <v>38</v>
      </c>
      <c r="C177" s="3" t="s">
        <v>1219</v>
      </c>
      <c r="D177" s="3" t="s">
        <v>404</v>
      </c>
      <c r="E177" s="8" t="s">
        <v>51</v>
      </c>
      <c r="F177" s="7">
        <v>45229.0</v>
      </c>
      <c r="G177" s="3" t="s">
        <v>68</v>
      </c>
      <c r="H177" s="20">
        <v>1.28049406E8</v>
      </c>
      <c r="I177" s="20">
        <v>8.6100826E7</v>
      </c>
      <c r="J177" s="3" t="s">
        <v>172</v>
      </c>
      <c r="K177" s="3">
        <v>721.0</v>
      </c>
      <c r="L177" s="3" t="s">
        <v>783</v>
      </c>
      <c r="M177" s="3">
        <v>2008.0</v>
      </c>
      <c r="N177" s="23" t="s">
        <v>1690</v>
      </c>
      <c r="S177" s="21"/>
      <c r="T177" s="21"/>
    </row>
    <row r="178">
      <c r="A178" s="3" t="s">
        <v>834</v>
      </c>
      <c r="B178" s="3" t="s">
        <v>59</v>
      </c>
      <c r="C178" s="3" t="s">
        <v>835</v>
      </c>
      <c r="D178" s="3" t="s">
        <v>171</v>
      </c>
      <c r="E178" s="8" t="s">
        <v>52</v>
      </c>
      <c r="F178" s="7">
        <v>44091.0</v>
      </c>
      <c r="G178" s="3" t="s">
        <v>59</v>
      </c>
      <c r="H178" s="20">
        <v>875000.0</v>
      </c>
      <c r="I178" s="20">
        <v>875000.0</v>
      </c>
      <c r="J178" s="3" t="s">
        <v>72</v>
      </c>
      <c r="K178" s="3">
        <v>18.0</v>
      </c>
      <c r="L178" s="3" t="s">
        <v>496</v>
      </c>
      <c r="M178" s="3">
        <v>2020.0</v>
      </c>
      <c r="N178" s="23" t="s">
        <v>838</v>
      </c>
      <c r="S178" s="21"/>
      <c r="T178" s="21"/>
    </row>
    <row r="179">
      <c r="A179" s="3" t="s">
        <v>1226</v>
      </c>
      <c r="B179" s="3" t="s">
        <v>59</v>
      </c>
      <c r="C179" s="3" t="s">
        <v>1227</v>
      </c>
      <c r="D179" s="3" t="s">
        <v>46</v>
      </c>
      <c r="E179" s="8" t="s">
        <v>51</v>
      </c>
      <c r="F179" s="7">
        <v>45940.0</v>
      </c>
      <c r="G179" s="3" t="s">
        <v>59</v>
      </c>
      <c r="H179" s="20">
        <v>9000000.0</v>
      </c>
      <c r="I179" s="20">
        <v>9000000.0</v>
      </c>
      <c r="J179" s="3" t="s">
        <v>172</v>
      </c>
      <c r="K179" s="3">
        <v>39.0</v>
      </c>
      <c r="L179" s="3" t="s">
        <v>496</v>
      </c>
      <c r="M179" s="3">
        <v>2025.0</v>
      </c>
      <c r="N179" s="23" t="s">
        <v>1704</v>
      </c>
      <c r="S179" s="21"/>
      <c r="T179" s="21"/>
    </row>
    <row r="180">
      <c r="A180" s="3" t="s">
        <v>1232</v>
      </c>
      <c r="B180" s="3" t="s">
        <v>59</v>
      </c>
      <c r="C180" s="3" t="s">
        <v>1233</v>
      </c>
      <c r="D180" s="3" t="s">
        <v>66</v>
      </c>
      <c r="E180" s="8" t="s">
        <v>52</v>
      </c>
      <c r="F180" s="7">
        <v>41487.0</v>
      </c>
      <c r="G180" s="3" t="s">
        <v>59</v>
      </c>
      <c r="H180" s="20">
        <v>90000.0</v>
      </c>
      <c r="I180" s="20">
        <v>90000.0</v>
      </c>
      <c r="J180" s="3" t="s">
        <v>68</v>
      </c>
      <c r="K180" s="3"/>
      <c r="L180" s="3" t="s">
        <v>496</v>
      </c>
      <c r="M180" s="3"/>
      <c r="N180" s="3"/>
      <c r="O180" s="1" t="s">
        <v>65</v>
      </c>
      <c r="S180" s="21"/>
      <c r="T180" s="21"/>
    </row>
    <row r="181">
      <c r="A181" s="3" t="s">
        <v>1238</v>
      </c>
      <c r="B181" s="3" t="s">
        <v>685</v>
      </c>
      <c r="C181" s="3" t="s">
        <v>1239</v>
      </c>
      <c r="D181" s="3" t="s">
        <v>46</v>
      </c>
      <c r="E181" s="8" t="s">
        <v>51</v>
      </c>
      <c r="F181" s="7">
        <v>44777.0</v>
      </c>
      <c r="G181" s="3" t="s">
        <v>364</v>
      </c>
      <c r="H181" s="20">
        <v>1.09E8</v>
      </c>
      <c r="I181" s="20">
        <v>9.4E7</v>
      </c>
      <c r="J181" s="3" t="s">
        <v>172</v>
      </c>
      <c r="K181" s="3">
        <v>299.0</v>
      </c>
      <c r="L181" s="3" t="s">
        <v>905</v>
      </c>
      <c r="M181" s="3">
        <v>2010.0</v>
      </c>
      <c r="N181" s="23" t="s">
        <v>1714</v>
      </c>
      <c r="O181" s="1" t="s">
        <v>65</v>
      </c>
      <c r="S181" s="21"/>
      <c r="T181" s="21"/>
    </row>
    <row r="182">
      <c r="A182" s="3" t="s">
        <v>1243</v>
      </c>
      <c r="B182" s="3" t="s">
        <v>38</v>
      </c>
      <c r="C182" s="3" t="s">
        <v>1246</v>
      </c>
      <c r="D182" s="3" t="s">
        <v>171</v>
      </c>
      <c r="E182" s="8" t="s">
        <v>52</v>
      </c>
      <c r="F182" s="7">
        <v>45783.0</v>
      </c>
      <c r="G182" s="3" t="s">
        <v>68</v>
      </c>
      <c r="H182" s="20">
        <v>6.30669891E8</v>
      </c>
      <c r="I182" s="20">
        <v>5.08E8</v>
      </c>
      <c r="J182" s="3" t="s">
        <v>672</v>
      </c>
      <c r="K182" s="3">
        <v>791.0</v>
      </c>
      <c r="L182" s="3" t="s">
        <v>783</v>
      </c>
      <c r="M182" s="3">
        <v>2001.0</v>
      </c>
      <c r="N182" s="23" t="s">
        <v>1719</v>
      </c>
      <c r="S182" s="21"/>
      <c r="T182" s="21"/>
    </row>
    <row r="183">
      <c r="A183" s="3" t="s">
        <v>1249</v>
      </c>
      <c r="B183" s="3" t="s">
        <v>59</v>
      </c>
      <c r="C183" s="3" t="s">
        <v>1250</v>
      </c>
      <c r="D183" s="3" t="s">
        <v>710</v>
      </c>
      <c r="E183" s="8" t="s">
        <v>52</v>
      </c>
      <c r="F183" s="7">
        <v>43518.0</v>
      </c>
      <c r="G183" s="3" t="s">
        <v>59</v>
      </c>
      <c r="H183" s="20">
        <v>2327296.0</v>
      </c>
      <c r="I183" s="20">
        <v>1080000.0</v>
      </c>
      <c r="J183" s="3" t="s">
        <v>68</v>
      </c>
      <c r="K183" s="3"/>
      <c r="L183" s="3" t="s">
        <v>496</v>
      </c>
      <c r="M183" s="3"/>
      <c r="N183" s="3"/>
      <c r="O183" s="1" t="s">
        <v>65</v>
      </c>
      <c r="S183" s="21"/>
      <c r="T183" s="21"/>
    </row>
    <row r="184">
      <c r="A184" s="3" t="s">
        <v>919</v>
      </c>
      <c r="B184" s="3" t="s">
        <v>59</v>
      </c>
      <c r="C184" s="3" t="s">
        <v>921</v>
      </c>
      <c r="D184" s="3" t="s">
        <v>171</v>
      </c>
      <c r="E184" s="8" t="s">
        <v>52</v>
      </c>
      <c r="F184" s="7">
        <v>45770.0</v>
      </c>
      <c r="G184" s="3" t="s">
        <v>59</v>
      </c>
      <c r="H184" s="20">
        <v>1080000.0</v>
      </c>
      <c r="I184" s="20">
        <v>1080000.0</v>
      </c>
      <c r="J184" s="3" t="s">
        <v>72</v>
      </c>
      <c r="K184" s="3">
        <v>26.0</v>
      </c>
      <c r="L184" s="3" t="s">
        <v>496</v>
      </c>
      <c r="M184" s="3">
        <v>2024.0</v>
      </c>
      <c r="N184" s="23" t="s">
        <v>924</v>
      </c>
      <c r="S184" s="21"/>
      <c r="T184" s="21"/>
    </row>
    <row r="185">
      <c r="A185" s="3" t="s">
        <v>928</v>
      </c>
      <c r="B185" s="3" t="s">
        <v>38</v>
      </c>
      <c r="C185" s="3" t="s">
        <v>929</v>
      </c>
      <c r="D185" s="3" t="s">
        <v>710</v>
      </c>
      <c r="E185" s="8" t="s">
        <v>52</v>
      </c>
      <c r="F185" s="7">
        <v>43920.0</v>
      </c>
      <c r="G185" s="3" t="s">
        <v>68</v>
      </c>
      <c r="H185" s="20">
        <v>1080000.0</v>
      </c>
      <c r="I185" s="20">
        <v>1080000.0</v>
      </c>
      <c r="J185" s="3" t="s">
        <v>72</v>
      </c>
      <c r="K185" s="3">
        <v>19.0</v>
      </c>
      <c r="L185" s="3" t="s">
        <v>496</v>
      </c>
      <c r="M185" s="3">
        <v>2015.0</v>
      </c>
      <c r="N185" s="23" t="s">
        <v>931</v>
      </c>
      <c r="S185" s="21"/>
      <c r="T185" s="21"/>
    </row>
    <row r="186">
      <c r="A186" s="3" t="s">
        <v>937</v>
      </c>
      <c r="B186" s="3" t="s">
        <v>59</v>
      </c>
      <c r="C186" s="3" t="s">
        <v>940</v>
      </c>
      <c r="D186" s="3" t="s">
        <v>356</v>
      </c>
      <c r="E186" s="8" t="s">
        <v>52</v>
      </c>
      <c r="F186" s="7">
        <v>41844.0</v>
      </c>
      <c r="G186" s="3" t="s">
        <v>59</v>
      </c>
      <c r="H186" s="20">
        <v>1080000.0</v>
      </c>
      <c r="I186" s="20">
        <v>1080000.0</v>
      </c>
      <c r="J186" s="3" t="s">
        <v>72</v>
      </c>
      <c r="K186" s="3">
        <v>36.0</v>
      </c>
      <c r="L186" s="3" t="s">
        <v>496</v>
      </c>
      <c r="M186" s="3">
        <v>2009.0</v>
      </c>
      <c r="N186" s="23" t="s">
        <v>941</v>
      </c>
      <c r="S186" s="21"/>
      <c r="T186" s="21"/>
    </row>
    <row r="187">
      <c r="A187" s="3" t="s">
        <v>1261</v>
      </c>
      <c r="B187" s="3" t="s">
        <v>59</v>
      </c>
      <c r="C187" s="3" t="s">
        <v>1262</v>
      </c>
      <c r="D187" s="3" t="s">
        <v>171</v>
      </c>
      <c r="E187" s="8" t="s">
        <v>52</v>
      </c>
      <c r="F187" s="7">
        <v>41635.0</v>
      </c>
      <c r="G187" s="3" t="s">
        <v>59</v>
      </c>
      <c r="H187" s="20">
        <v>1080000.0</v>
      </c>
      <c r="I187" s="20">
        <v>1080000.0</v>
      </c>
      <c r="J187" s="3" t="s">
        <v>68</v>
      </c>
      <c r="K187" s="3"/>
      <c r="L187" s="3" t="s">
        <v>496</v>
      </c>
      <c r="M187" s="3">
        <v>2011.0</v>
      </c>
      <c r="N187" s="23" t="s">
        <v>1738</v>
      </c>
      <c r="O187" s="1" t="s">
        <v>65</v>
      </c>
      <c r="S187" s="21"/>
      <c r="T187" s="21"/>
    </row>
    <row r="188">
      <c r="A188" s="3" t="s">
        <v>950</v>
      </c>
      <c r="B188" s="3" t="s">
        <v>59</v>
      </c>
      <c r="C188" s="3" t="s">
        <v>951</v>
      </c>
      <c r="D188" s="3" t="s">
        <v>1264</v>
      </c>
      <c r="E188" s="8" t="s">
        <v>52</v>
      </c>
      <c r="F188" s="7">
        <v>43495.0</v>
      </c>
      <c r="G188" s="3" t="s">
        <v>59</v>
      </c>
      <c r="H188" s="20">
        <v>1198800.0</v>
      </c>
      <c r="I188" s="20">
        <v>1198800.0</v>
      </c>
      <c r="J188" s="3" t="s">
        <v>72</v>
      </c>
      <c r="K188" s="3">
        <v>39.0</v>
      </c>
      <c r="L188" s="3" t="s">
        <v>496</v>
      </c>
      <c r="M188" s="3">
        <v>2011.0</v>
      </c>
      <c r="N188" s="23" t="s">
        <v>953</v>
      </c>
      <c r="S188" s="21"/>
      <c r="T188" s="21"/>
    </row>
    <row r="189">
      <c r="A189" s="3" t="s">
        <v>997</v>
      </c>
      <c r="B189" s="3" t="s">
        <v>59</v>
      </c>
      <c r="C189" s="3" t="s">
        <v>998</v>
      </c>
      <c r="D189" s="3" t="s">
        <v>66</v>
      </c>
      <c r="E189" s="8" t="s">
        <v>52</v>
      </c>
      <c r="F189" s="7">
        <v>45689.0</v>
      </c>
      <c r="G189" s="3" t="s">
        <v>59</v>
      </c>
      <c r="H189" s="20">
        <v>1296000.0</v>
      </c>
      <c r="I189" s="20">
        <v>1296000.0</v>
      </c>
      <c r="J189" s="3" t="s">
        <v>172</v>
      </c>
      <c r="K189" s="3">
        <v>12.0</v>
      </c>
      <c r="L189" s="3" t="s">
        <v>496</v>
      </c>
      <c r="M189" s="3">
        <v>2022.0</v>
      </c>
      <c r="N189" s="23" t="s">
        <v>999</v>
      </c>
      <c r="S189" s="21"/>
      <c r="T189" s="21"/>
    </row>
    <row r="190">
      <c r="A190" s="3" t="s">
        <v>1007</v>
      </c>
      <c r="B190" s="3" t="s">
        <v>38</v>
      </c>
      <c r="C190" s="3" t="s">
        <v>1008</v>
      </c>
      <c r="D190" s="3" t="s">
        <v>171</v>
      </c>
      <c r="E190" s="8" t="s">
        <v>52</v>
      </c>
      <c r="F190" s="7">
        <v>44734.0</v>
      </c>
      <c r="G190" s="3" t="s">
        <v>68</v>
      </c>
      <c r="H190" s="20">
        <v>1512000.0</v>
      </c>
      <c r="I190" s="20">
        <v>1296000.0</v>
      </c>
      <c r="J190" s="3" t="s">
        <v>72</v>
      </c>
      <c r="K190" s="3">
        <v>22.0</v>
      </c>
      <c r="L190" s="3" t="s">
        <v>496</v>
      </c>
      <c r="M190" s="3">
        <v>2016.0</v>
      </c>
      <c r="N190" s="23" t="s">
        <v>1010</v>
      </c>
      <c r="S190" s="21"/>
      <c r="T190" s="21"/>
    </row>
    <row r="191">
      <c r="A191" s="3" t="s">
        <v>1042</v>
      </c>
      <c r="B191" s="3" t="s">
        <v>76</v>
      </c>
      <c r="C191" s="3" t="s">
        <v>1043</v>
      </c>
      <c r="D191" s="3" t="s">
        <v>1270</v>
      </c>
      <c r="E191" s="8" t="s">
        <v>52</v>
      </c>
      <c r="F191" s="7">
        <v>45747.0</v>
      </c>
      <c r="G191" s="3" t="s">
        <v>670</v>
      </c>
      <c r="H191" s="20">
        <v>2219400.0</v>
      </c>
      <c r="I191" s="20">
        <v>1404000.0</v>
      </c>
      <c r="J191" s="3" t="s">
        <v>172</v>
      </c>
      <c r="K191" s="3">
        <v>60.0</v>
      </c>
      <c r="L191" s="3" t="s">
        <v>538</v>
      </c>
      <c r="M191" s="3">
        <v>2018.0</v>
      </c>
      <c r="N191" s="23" t="s">
        <v>1044</v>
      </c>
      <c r="S191" s="21"/>
      <c r="T191" s="21"/>
    </row>
    <row r="192">
      <c r="A192" s="3" t="s">
        <v>1274</v>
      </c>
      <c r="B192" s="3" t="s">
        <v>59</v>
      </c>
      <c r="C192" s="3" t="s">
        <v>1275</v>
      </c>
      <c r="D192" s="3" t="s">
        <v>171</v>
      </c>
      <c r="E192" s="8" t="s">
        <v>52</v>
      </c>
      <c r="F192" s="7">
        <v>44487.0</v>
      </c>
      <c r="G192" s="3" t="s">
        <v>59</v>
      </c>
      <c r="H192" s="20">
        <v>1404000.0</v>
      </c>
      <c r="I192" s="20">
        <v>1404000.0</v>
      </c>
      <c r="J192" s="3" t="s">
        <v>72</v>
      </c>
      <c r="K192" s="3">
        <v>11.0</v>
      </c>
      <c r="L192" s="3" t="s">
        <v>496</v>
      </c>
      <c r="M192" s="3">
        <v>2017.0</v>
      </c>
      <c r="N192" s="23" t="s">
        <v>1769</v>
      </c>
      <c r="O192" s="1" t="s">
        <v>65</v>
      </c>
      <c r="S192" s="21"/>
      <c r="T192" s="21"/>
    </row>
    <row r="193">
      <c r="A193" s="3" t="s">
        <v>1053</v>
      </c>
      <c r="B193" s="3" t="s">
        <v>38</v>
      </c>
      <c r="C193" s="3" t="s">
        <v>1054</v>
      </c>
      <c r="D193" s="3" t="s">
        <v>1283</v>
      </c>
      <c r="E193" s="8" t="s">
        <v>52</v>
      </c>
      <c r="F193" s="7">
        <v>43704.0</v>
      </c>
      <c r="G193" s="3" t="s">
        <v>68</v>
      </c>
      <c r="H193" s="20">
        <v>1512000.0</v>
      </c>
      <c r="I193" s="20">
        <v>1512000.0</v>
      </c>
      <c r="J193" s="3" t="s">
        <v>68</v>
      </c>
      <c r="K193" s="3">
        <v>32.0</v>
      </c>
      <c r="L193" s="3" t="s">
        <v>496</v>
      </c>
      <c r="M193" s="3">
        <v>2018.0</v>
      </c>
      <c r="N193" s="23" t="s">
        <v>1056</v>
      </c>
      <c r="S193" s="21"/>
      <c r="T193" s="21"/>
    </row>
    <row r="194">
      <c r="A194" s="3" t="s">
        <v>1063</v>
      </c>
      <c r="B194" s="3" t="s">
        <v>59</v>
      </c>
      <c r="C194" s="3" t="s">
        <v>1064</v>
      </c>
      <c r="D194" s="3" t="s">
        <v>171</v>
      </c>
      <c r="E194" s="8" t="s">
        <v>52</v>
      </c>
      <c r="F194" s="7">
        <v>42005.0</v>
      </c>
      <c r="G194" s="3" t="s">
        <v>167</v>
      </c>
      <c r="H194" s="20">
        <v>2311200.0</v>
      </c>
      <c r="I194" s="20">
        <v>1512000.0</v>
      </c>
      <c r="J194" s="3" t="s">
        <v>72</v>
      </c>
      <c r="K194" s="3">
        <v>37.0</v>
      </c>
      <c r="L194" s="3" t="s">
        <v>496</v>
      </c>
      <c r="M194" s="3">
        <v>2012.0</v>
      </c>
      <c r="N194" s="23" t="s">
        <v>1783</v>
      </c>
      <c r="S194" s="21"/>
      <c r="T194" s="21"/>
    </row>
    <row r="195">
      <c r="A195" s="3" t="s">
        <v>1079</v>
      </c>
      <c r="B195" s="3" t="s">
        <v>59</v>
      </c>
      <c r="C195" s="3" t="s">
        <v>1080</v>
      </c>
      <c r="D195" s="3" t="s">
        <v>502</v>
      </c>
      <c r="E195" s="8" t="s">
        <v>52</v>
      </c>
      <c r="F195" s="7">
        <v>44887.0</v>
      </c>
      <c r="G195" s="3" t="s">
        <v>59</v>
      </c>
      <c r="H195" s="20">
        <v>1620000.0</v>
      </c>
      <c r="I195" s="20">
        <v>1620000.0</v>
      </c>
      <c r="J195" s="3" t="s">
        <v>72</v>
      </c>
      <c r="K195" s="3">
        <v>20.0</v>
      </c>
      <c r="L195" s="3" t="s">
        <v>496</v>
      </c>
      <c r="M195" s="3">
        <v>2021.0</v>
      </c>
      <c r="N195" s="23" t="s">
        <v>1787</v>
      </c>
      <c r="S195" s="21"/>
      <c r="T195" s="21"/>
    </row>
    <row r="196">
      <c r="A196" s="3" t="s">
        <v>1293</v>
      </c>
      <c r="B196" s="3" t="s">
        <v>59</v>
      </c>
      <c r="C196" s="3" t="s">
        <v>1294</v>
      </c>
      <c r="D196" s="3" t="s">
        <v>171</v>
      </c>
      <c r="E196" s="8" t="s">
        <v>52</v>
      </c>
      <c r="F196" s="7">
        <v>45034.0</v>
      </c>
      <c r="G196" s="3" t="s">
        <v>59</v>
      </c>
      <c r="H196" s="20">
        <v>1620000.0</v>
      </c>
      <c r="I196" s="20">
        <v>1620000.0</v>
      </c>
      <c r="J196" s="3" t="s">
        <v>172</v>
      </c>
      <c r="K196" s="3">
        <v>11.0</v>
      </c>
      <c r="L196" s="3" t="s">
        <v>496</v>
      </c>
      <c r="M196" s="3">
        <v>2021.0</v>
      </c>
      <c r="N196" s="3"/>
      <c r="O196" s="1" t="s">
        <v>65</v>
      </c>
      <c r="S196" s="21"/>
      <c r="T196" s="21"/>
    </row>
    <row r="197">
      <c r="A197" s="3" t="s">
        <v>1298</v>
      </c>
      <c r="B197" s="3" t="s">
        <v>59</v>
      </c>
      <c r="C197" s="3" t="s">
        <v>1299</v>
      </c>
      <c r="D197" s="3" t="s">
        <v>66</v>
      </c>
      <c r="E197" s="8" t="s">
        <v>52</v>
      </c>
      <c r="F197" s="7">
        <v>42487.0</v>
      </c>
      <c r="G197" s="3" t="s">
        <v>167</v>
      </c>
      <c r="H197" s="20">
        <v>1620000.0</v>
      </c>
      <c r="I197" s="20">
        <v>1620000.0</v>
      </c>
      <c r="J197" s="3" t="s">
        <v>68</v>
      </c>
      <c r="K197" s="3"/>
      <c r="L197" s="3" t="s">
        <v>496</v>
      </c>
      <c r="M197" s="3"/>
      <c r="N197" s="3"/>
      <c r="O197" s="1" t="s">
        <v>65</v>
      </c>
      <c r="S197" s="21"/>
      <c r="T197" s="21"/>
    </row>
    <row r="198">
      <c r="A198" s="3" t="s">
        <v>1301</v>
      </c>
      <c r="B198" s="3" t="s">
        <v>59</v>
      </c>
      <c r="C198" s="3" t="s">
        <v>1302</v>
      </c>
      <c r="D198" s="3" t="s">
        <v>397</v>
      </c>
      <c r="E198" s="8" t="s">
        <v>52</v>
      </c>
      <c r="F198" s="7">
        <v>41771.0</v>
      </c>
      <c r="G198" s="3" t="s">
        <v>59</v>
      </c>
      <c r="H198" s="20">
        <v>1620000.0</v>
      </c>
      <c r="I198" s="20">
        <v>1620000.0</v>
      </c>
      <c r="J198" s="3" t="s">
        <v>68</v>
      </c>
      <c r="K198" s="3"/>
      <c r="L198" s="3" t="s">
        <v>496</v>
      </c>
      <c r="M198" s="3">
        <v>2012.0</v>
      </c>
      <c r="N198" s="3"/>
      <c r="O198" s="1" t="s">
        <v>65</v>
      </c>
      <c r="S198" s="21"/>
      <c r="T198" s="21"/>
    </row>
    <row r="199">
      <c r="A199" s="3" t="s">
        <v>1105</v>
      </c>
      <c r="B199" s="3" t="s">
        <v>59</v>
      </c>
      <c r="C199" s="3" t="s">
        <v>1106</v>
      </c>
      <c r="D199" s="3" t="s">
        <v>970</v>
      </c>
      <c r="E199" s="8" t="s">
        <v>52</v>
      </c>
      <c r="F199" s="7">
        <v>43411.0</v>
      </c>
      <c r="G199" s="3" t="s">
        <v>59</v>
      </c>
      <c r="H199" s="20">
        <v>1836000.0</v>
      </c>
      <c r="I199" s="20">
        <v>1836000.0</v>
      </c>
      <c r="J199" s="3" t="s">
        <v>72</v>
      </c>
      <c r="K199" s="3">
        <v>51.0</v>
      </c>
      <c r="L199" s="3" t="s">
        <v>538</v>
      </c>
      <c r="M199" s="3">
        <v>2017.0</v>
      </c>
      <c r="N199" s="23" t="s">
        <v>1107</v>
      </c>
      <c r="S199" s="21"/>
      <c r="T199" s="21"/>
    </row>
    <row r="200">
      <c r="A200" s="3" t="s">
        <v>1116</v>
      </c>
      <c r="B200" s="3" t="s">
        <v>59</v>
      </c>
      <c r="C200" s="3" t="s">
        <v>1117</v>
      </c>
      <c r="D200" s="3" t="s">
        <v>710</v>
      </c>
      <c r="E200" s="8" t="s">
        <v>52</v>
      </c>
      <c r="F200" s="7">
        <v>45552.0</v>
      </c>
      <c r="G200" s="3" t="s">
        <v>59</v>
      </c>
      <c r="H200" s="20">
        <v>1998001.0</v>
      </c>
      <c r="I200" s="20">
        <v>1890000.0</v>
      </c>
      <c r="J200" s="3" t="s">
        <v>172</v>
      </c>
      <c r="K200" s="3">
        <v>12.0</v>
      </c>
      <c r="L200" s="3" t="s">
        <v>496</v>
      </c>
      <c r="M200" s="3">
        <v>2022.0</v>
      </c>
      <c r="N200" s="23" t="s">
        <v>1118</v>
      </c>
      <c r="S200" s="21"/>
      <c r="T200" s="21"/>
    </row>
    <row r="201">
      <c r="A201" s="3" t="s">
        <v>1125</v>
      </c>
      <c r="B201" s="3" t="s">
        <v>59</v>
      </c>
      <c r="C201" s="3" t="s">
        <v>1126</v>
      </c>
      <c r="D201" s="3" t="s">
        <v>1311</v>
      </c>
      <c r="E201" s="8" t="s">
        <v>52</v>
      </c>
      <c r="F201" s="7">
        <v>45251.0</v>
      </c>
      <c r="G201" s="3" t="s">
        <v>59</v>
      </c>
      <c r="H201" s="20">
        <v>2376000.0</v>
      </c>
      <c r="I201" s="20">
        <v>1944000.0</v>
      </c>
      <c r="J201" s="3" t="s">
        <v>72</v>
      </c>
      <c r="K201" s="5">
        <v>28.0</v>
      </c>
      <c r="L201" s="3" t="s">
        <v>496</v>
      </c>
      <c r="M201" s="5">
        <v>2019.0</v>
      </c>
      <c r="N201" s="29" t="s">
        <v>1129</v>
      </c>
      <c r="S201" s="21"/>
      <c r="T201" s="21"/>
    </row>
    <row r="202">
      <c r="A202" s="3" t="s">
        <v>1315</v>
      </c>
      <c r="B202" s="3" t="s">
        <v>38</v>
      </c>
      <c r="C202" s="3" t="s">
        <v>1316</v>
      </c>
      <c r="D202" s="3" t="s">
        <v>281</v>
      </c>
      <c r="E202" s="8" t="s">
        <v>52</v>
      </c>
      <c r="F202" s="7">
        <v>45799.0</v>
      </c>
      <c r="G202" s="3" t="s">
        <v>68</v>
      </c>
      <c r="H202" s="20">
        <v>1.1934E7</v>
      </c>
      <c r="I202" s="20">
        <v>1.08E7</v>
      </c>
      <c r="J202" s="3" t="s">
        <v>172</v>
      </c>
      <c r="K202" s="5">
        <v>68.0</v>
      </c>
      <c r="L202" s="3" t="s">
        <v>538</v>
      </c>
      <c r="M202" s="5">
        <v>2024.0</v>
      </c>
      <c r="N202" s="29" t="s">
        <v>1805</v>
      </c>
      <c r="S202" s="21"/>
      <c r="T202" s="21"/>
    </row>
    <row r="203">
      <c r="A203" s="3" t="s">
        <v>1321</v>
      </c>
      <c r="B203" s="3" t="s">
        <v>76</v>
      </c>
      <c r="C203" s="3" t="s">
        <v>1322</v>
      </c>
      <c r="D203" s="3" t="s">
        <v>171</v>
      </c>
      <c r="E203" s="8" t="s">
        <v>52</v>
      </c>
      <c r="F203" s="7">
        <v>44865.0</v>
      </c>
      <c r="G203" s="3" t="s">
        <v>670</v>
      </c>
      <c r="H203" s="20">
        <v>1.6632E7</v>
      </c>
      <c r="I203" s="20">
        <v>1.08E7</v>
      </c>
      <c r="J203" s="3" t="s">
        <v>72</v>
      </c>
      <c r="K203" s="3"/>
      <c r="L203" s="3" t="s">
        <v>496</v>
      </c>
      <c r="M203" s="5">
        <v>2015.0</v>
      </c>
      <c r="N203" s="29" t="s">
        <v>1813</v>
      </c>
      <c r="S203" s="21"/>
      <c r="T203" s="21"/>
    </row>
    <row r="204">
      <c r="A204" s="3" t="s">
        <v>1324</v>
      </c>
      <c r="B204" s="3" t="s">
        <v>76</v>
      </c>
      <c r="C204" s="3" t="s">
        <v>1326</v>
      </c>
      <c r="D204" s="3" t="s">
        <v>171</v>
      </c>
      <c r="E204" s="8" t="s">
        <v>52</v>
      </c>
      <c r="F204" s="7">
        <v>43448.0</v>
      </c>
      <c r="G204" s="3" t="s">
        <v>670</v>
      </c>
      <c r="H204" s="20">
        <v>1.08E7</v>
      </c>
      <c r="I204" s="20">
        <v>1.08E7</v>
      </c>
      <c r="J204" s="3" t="s">
        <v>72</v>
      </c>
      <c r="K204" s="5">
        <v>59.0</v>
      </c>
      <c r="L204" s="3" t="s">
        <v>538</v>
      </c>
      <c r="M204" s="5">
        <v>2006.0</v>
      </c>
      <c r="N204" s="15" t="s">
        <v>1818</v>
      </c>
      <c r="S204" s="21"/>
      <c r="T204" s="21"/>
    </row>
    <row r="205">
      <c r="A205" s="3" t="s">
        <v>1328</v>
      </c>
      <c r="B205" s="3" t="s">
        <v>289</v>
      </c>
      <c r="C205" s="3" t="s">
        <v>1329</v>
      </c>
      <c r="D205" s="3" t="s">
        <v>397</v>
      </c>
      <c r="E205" s="8" t="s">
        <v>52</v>
      </c>
      <c r="F205" s="7">
        <v>45478.0</v>
      </c>
      <c r="G205" s="3" t="s">
        <v>670</v>
      </c>
      <c r="H205" s="20">
        <v>1.7442E7</v>
      </c>
      <c r="I205" s="20">
        <v>1.134E7</v>
      </c>
      <c r="J205" s="3" t="s">
        <v>172</v>
      </c>
      <c r="K205" s="5">
        <v>111.0</v>
      </c>
      <c r="L205" s="3" t="s">
        <v>514</v>
      </c>
      <c r="M205" s="5">
        <v>2012.0</v>
      </c>
      <c r="N205" s="29" t="s">
        <v>1824</v>
      </c>
      <c r="S205" s="21"/>
      <c r="T205" s="21"/>
    </row>
    <row r="206">
      <c r="A206" s="3" t="s">
        <v>1333</v>
      </c>
      <c r="B206" s="3" t="s">
        <v>76</v>
      </c>
      <c r="C206" s="3" t="s">
        <v>1334</v>
      </c>
      <c r="D206" s="3" t="s">
        <v>66</v>
      </c>
      <c r="E206" s="8" t="s">
        <v>52</v>
      </c>
      <c r="F206" s="7">
        <v>45377.0</v>
      </c>
      <c r="G206" s="3" t="s">
        <v>670</v>
      </c>
      <c r="H206" s="20">
        <v>1.5498E7</v>
      </c>
      <c r="I206" s="20">
        <v>1.1718E7</v>
      </c>
      <c r="J206" s="3" t="s">
        <v>72</v>
      </c>
      <c r="K206" s="3"/>
      <c r="L206" s="3" t="s">
        <v>496</v>
      </c>
      <c r="M206" s="3"/>
      <c r="N206" s="3"/>
      <c r="O206" s="1" t="s">
        <v>65</v>
      </c>
      <c r="S206" s="21"/>
      <c r="T206" s="21"/>
    </row>
    <row r="207">
      <c r="A207" s="3" t="s">
        <v>1338</v>
      </c>
      <c r="B207" s="3" t="s">
        <v>685</v>
      </c>
      <c r="C207" s="3" t="s">
        <v>344</v>
      </c>
      <c r="D207" s="3" t="s">
        <v>66</v>
      </c>
      <c r="E207" s="8" t="s">
        <v>52</v>
      </c>
      <c r="F207" s="7">
        <v>45869.0</v>
      </c>
      <c r="G207" s="3" t="s">
        <v>364</v>
      </c>
      <c r="H207" s="20">
        <v>1.08E8</v>
      </c>
      <c r="I207" s="20">
        <v>1.08E8</v>
      </c>
      <c r="J207" s="3" t="s">
        <v>172</v>
      </c>
      <c r="K207" s="3"/>
      <c r="L207" s="3" t="s">
        <v>783</v>
      </c>
      <c r="M207" s="3"/>
      <c r="N207" s="3"/>
      <c r="O207" s="1" t="s">
        <v>65</v>
      </c>
      <c r="S207" s="21"/>
      <c r="T207" s="21"/>
    </row>
    <row r="208">
      <c r="A208" s="3" t="s">
        <v>1341</v>
      </c>
      <c r="B208" s="3" t="s">
        <v>59</v>
      </c>
      <c r="C208" s="3" t="s">
        <v>1342</v>
      </c>
      <c r="D208" s="3" t="s">
        <v>488</v>
      </c>
      <c r="E208" s="8" t="s">
        <v>52</v>
      </c>
      <c r="F208" s="7">
        <v>45912.0</v>
      </c>
      <c r="G208" s="3" t="s">
        <v>59</v>
      </c>
      <c r="H208" s="20">
        <v>1.188E7</v>
      </c>
      <c r="I208" s="20">
        <v>1.188E7</v>
      </c>
      <c r="J208" s="3" t="s">
        <v>672</v>
      </c>
      <c r="K208" s="5">
        <v>26.0</v>
      </c>
      <c r="L208" s="3" t="s">
        <v>496</v>
      </c>
      <c r="M208" s="5">
        <v>2021.0</v>
      </c>
      <c r="N208" s="29" t="s">
        <v>1832</v>
      </c>
      <c r="S208" s="21"/>
      <c r="T208" s="21"/>
    </row>
    <row r="209">
      <c r="A209" s="3" t="s">
        <v>1347</v>
      </c>
      <c r="B209" s="3" t="s">
        <v>76</v>
      </c>
      <c r="C209" s="3" t="s">
        <v>1348</v>
      </c>
      <c r="D209" s="3" t="s">
        <v>397</v>
      </c>
      <c r="E209" s="8" t="s">
        <v>52</v>
      </c>
      <c r="F209" s="7">
        <v>44740.0</v>
      </c>
      <c r="G209" s="3" t="s">
        <v>167</v>
      </c>
      <c r="H209" s="20">
        <v>1.8036E7</v>
      </c>
      <c r="I209" s="20">
        <v>1.62E7</v>
      </c>
      <c r="J209" s="3" t="s">
        <v>72</v>
      </c>
      <c r="K209" s="5">
        <v>36.0</v>
      </c>
      <c r="L209" s="3" t="s">
        <v>514</v>
      </c>
      <c r="M209" s="5">
        <v>2020.0</v>
      </c>
      <c r="N209" s="29" t="s">
        <v>1842</v>
      </c>
      <c r="O209" s="1" t="s">
        <v>65</v>
      </c>
      <c r="S209" s="21"/>
      <c r="T209" s="21"/>
    </row>
    <row r="210">
      <c r="A210" s="3" t="s">
        <v>1354</v>
      </c>
      <c r="B210" s="3" t="s">
        <v>752</v>
      </c>
      <c r="C210" s="3" t="s">
        <v>1355</v>
      </c>
      <c r="D210" s="3" t="s">
        <v>1357</v>
      </c>
      <c r="E210" s="8" t="s">
        <v>52</v>
      </c>
      <c r="F210" s="7">
        <v>45630.0</v>
      </c>
      <c r="G210" s="3" t="s">
        <v>736</v>
      </c>
      <c r="H210" s="20">
        <v>1.62E7</v>
      </c>
      <c r="I210" s="20">
        <v>1.62E7</v>
      </c>
      <c r="J210" s="3" t="s">
        <v>672</v>
      </c>
      <c r="K210" s="5">
        <v>48.0</v>
      </c>
      <c r="L210" s="3" t="s">
        <v>496</v>
      </c>
      <c r="M210" s="5">
        <v>2017.0</v>
      </c>
      <c r="N210" s="29" t="s">
        <v>1851</v>
      </c>
      <c r="S210" s="21"/>
      <c r="T210" s="21"/>
    </row>
    <row r="211">
      <c r="A211" s="3" t="s">
        <v>1358</v>
      </c>
      <c r="B211" s="3" t="s">
        <v>38</v>
      </c>
      <c r="C211" s="3" t="s">
        <v>1359</v>
      </c>
      <c r="D211" s="3" t="s">
        <v>1360</v>
      </c>
      <c r="E211" s="8" t="s">
        <v>52</v>
      </c>
      <c r="F211" s="7">
        <v>45498.0</v>
      </c>
      <c r="G211" s="3" t="s">
        <v>68</v>
      </c>
      <c r="H211" s="20">
        <v>2.1276E7</v>
      </c>
      <c r="I211" s="20">
        <v>1.836E7</v>
      </c>
      <c r="J211" s="3" t="s">
        <v>672</v>
      </c>
      <c r="K211" s="5">
        <v>43.0</v>
      </c>
      <c r="L211" s="3" t="s">
        <v>496</v>
      </c>
      <c r="M211" s="5">
        <v>2015.0</v>
      </c>
      <c r="N211" s="29" t="s">
        <v>1857</v>
      </c>
      <c r="S211" s="21"/>
      <c r="T211" s="21"/>
    </row>
    <row r="212">
      <c r="A212" s="3" t="s">
        <v>1366</v>
      </c>
      <c r="B212" s="3" t="s">
        <v>685</v>
      </c>
      <c r="C212" s="3" t="s">
        <v>1367</v>
      </c>
      <c r="D212" s="3" t="s">
        <v>171</v>
      </c>
      <c r="E212" s="8" t="s">
        <v>52</v>
      </c>
      <c r="F212" s="7">
        <v>45987.0</v>
      </c>
      <c r="G212" s="3" t="s">
        <v>364</v>
      </c>
      <c r="H212" s="20">
        <v>1.8711E7</v>
      </c>
      <c r="I212" s="20">
        <v>1.8711E7</v>
      </c>
      <c r="J212" s="3" t="s">
        <v>172</v>
      </c>
      <c r="K212" s="3"/>
      <c r="L212" s="3" t="s">
        <v>783</v>
      </c>
      <c r="M212" s="3"/>
      <c r="N212" s="3"/>
      <c r="O212" s="1" t="s">
        <v>65</v>
      </c>
      <c r="S212" s="21"/>
      <c r="T212" s="21"/>
    </row>
    <row r="213">
      <c r="A213" s="3" t="s">
        <v>1370</v>
      </c>
      <c r="B213" s="3" t="s">
        <v>289</v>
      </c>
      <c r="C213" s="3" t="s">
        <v>1371</v>
      </c>
      <c r="D213" s="3" t="s">
        <v>66</v>
      </c>
      <c r="E213" s="8" t="s">
        <v>52</v>
      </c>
      <c r="F213" s="7">
        <v>45594.0</v>
      </c>
      <c r="G213" s="3" t="s">
        <v>670</v>
      </c>
      <c r="H213" s="20">
        <v>3.9410667E7</v>
      </c>
      <c r="I213" s="20">
        <v>1.944E7</v>
      </c>
      <c r="J213" s="3" t="s">
        <v>672</v>
      </c>
      <c r="K213" s="5">
        <v>239.0</v>
      </c>
      <c r="L213" s="3" t="s">
        <v>514</v>
      </c>
      <c r="M213" s="5">
        <v>2015.0</v>
      </c>
      <c r="N213" s="29" t="s">
        <v>1862</v>
      </c>
      <c r="S213" s="21"/>
      <c r="T213" s="21"/>
    </row>
    <row r="214">
      <c r="A214" s="3" t="s">
        <v>1378</v>
      </c>
      <c r="B214" s="3" t="s">
        <v>752</v>
      </c>
      <c r="C214" s="3" t="s">
        <v>1379</v>
      </c>
      <c r="D214" s="3" t="s">
        <v>281</v>
      </c>
      <c r="E214" s="8" t="s">
        <v>52</v>
      </c>
      <c r="F214" s="7">
        <v>45282.0</v>
      </c>
      <c r="G214" s="3" t="s">
        <v>736</v>
      </c>
      <c r="H214" s="20">
        <v>7.803E7</v>
      </c>
      <c r="I214" s="20">
        <v>1.944E7</v>
      </c>
      <c r="J214" s="3" t="s">
        <v>72</v>
      </c>
      <c r="K214" s="5">
        <v>159.0</v>
      </c>
      <c r="L214" s="3" t="s">
        <v>514</v>
      </c>
      <c r="M214" s="5">
        <v>2013.0</v>
      </c>
      <c r="N214" s="3"/>
      <c r="O214" s="1" t="s">
        <v>65</v>
      </c>
      <c r="S214" s="21"/>
      <c r="T214" s="21"/>
    </row>
    <row r="215">
      <c r="A215" s="3" t="s">
        <v>1149</v>
      </c>
      <c r="B215" s="3" t="s">
        <v>38</v>
      </c>
      <c r="C215" s="3" t="s">
        <v>1150</v>
      </c>
      <c r="D215" s="3" t="s">
        <v>488</v>
      </c>
      <c r="E215" s="8" t="s">
        <v>52</v>
      </c>
      <c r="F215" s="7">
        <v>45841.0</v>
      </c>
      <c r="G215" s="3" t="s">
        <v>68</v>
      </c>
      <c r="H215" s="20">
        <v>3780000.0</v>
      </c>
      <c r="I215" s="20">
        <v>2160000.0</v>
      </c>
      <c r="J215" s="3" t="s">
        <v>172</v>
      </c>
      <c r="K215" s="5">
        <v>29.0</v>
      </c>
      <c r="L215" s="3" t="s">
        <v>496</v>
      </c>
      <c r="M215" s="5">
        <v>2017.0</v>
      </c>
      <c r="N215" s="29" t="s">
        <v>1153</v>
      </c>
      <c r="S215" s="21"/>
      <c r="T215" s="21"/>
    </row>
    <row r="216">
      <c r="A216" s="3" t="s">
        <v>1161</v>
      </c>
      <c r="B216" s="3" t="s">
        <v>76</v>
      </c>
      <c r="C216" s="3" t="s">
        <v>1163</v>
      </c>
      <c r="D216" s="3" t="s">
        <v>171</v>
      </c>
      <c r="E216" s="8" t="s">
        <v>52</v>
      </c>
      <c r="F216" s="7">
        <v>45841.0</v>
      </c>
      <c r="G216" s="3" t="s">
        <v>670</v>
      </c>
      <c r="H216" s="20">
        <v>2970000.0</v>
      </c>
      <c r="I216" s="20">
        <v>2160000.0</v>
      </c>
      <c r="J216" s="3" t="s">
        <v>172</v>
      </c>
      <c r="K216" s="3"/>
      <c r="L216" s="3" t="s">
        <v>496</v>
      </c>
      <c r="M216" s="5">
        <v>2023.0</v>
      </c>
      <c r="N216" s="29" t="s">
        <v>1168</v>
      </c>
      <c r="S216" s="21"/>
      <c r="T216" s="21"/>
    </row>
    <row r="217">
      <c r="A217" s="3" t="s">
        <v>1175</v>
      </c>
      <c r="B217" s="3" t="s">
        <v>59</v>
      </c>
      <c r="C217" s="3" t="s">
        <v>1177</v>
      </c>
      <c r="D217" s="3" t="s">
        <v>171</v>
      </c>
      <c r="E217" s="8" t="s">
        <v>52</v>
      </c>
      <c r="F217" s="7">
        <v>45748.0</v>
      </c>
      <c r="G217" s="3" t="s">
        <v>59</v>
      </c>
      <c r="H217" s="20">
        <v>3780000.0</v>
      </c>
      <c r="I217" s="20">
        <v>2160000.0</v>
      </c>
      <c r="J217" s="3" t="s">
        <v>172</v>
      </c>
      <c r="K217" s="5">
        <v>19.0</v>
      </c>
      <c r="L217" s="3" t="s">
        <v>496</v>
      </c>
      <c r="M217" s="5">
        <v>2022.0</v>
      </c>
      <c r="N217" s="29" t="s">
        <v>1178</v>
      </c>
      <c r="S217" s="21"/>
      <c r="T217" s="21"/>
    </row>
    <row r="218">
      <c r="A218" s="3" t="s">
        <v>1184</v>
      </c>
      <c r="B218" s="3" t="s">
        <v>59</v>
      </c>
      <c r="C218" s="3" t="s">
        <v>1185</v>
      </c>
      <c r="D218" s="3" t="s">
        <v>66</v>
      </c>
      <c r="E218" s="8" t="s">
        <v>52</v>
      </c>
      <c r="F218" s="7">
        <v>45300.0</v>
      </c>
      <c r="G218" s="3" t="s">
        <v>59</v>
      </c>
      <c r="H218" s="20">
        <v>2160000.0</v>
      </c>
      <c r="I218" s="20">
        <v>2160000.0</v>
      </c>
      <c r="J218" s="3" t="s">
        <v>72</v>
      </c>
      <c r="K218" s="5">
        <v>22.0</v>
      </c>
      <c r="L218" s="3" t="s">
        <v>496</v>
      </c>
      <c r="M218" s="5">
        <v>2020.0</v>
      </c>
      <c r="N218" s="29" t="s">
        <v>1186</v>
      </c>
      <c r="S218" s="21"/>
      <c r="T218" s="21"/>
    </row>
    <row r="219">
      <c r="A219" s="3" t="s">
        <v>1193</v>
      </c>
      <c r="B219" s="3" t="s">
        <v>59</v>
      </c>
      <c r="C219" s="3" t="s">
        <v>1195</v>
      </c>
      <c r="D219" s="3" t="s">
        <v>171</v>
      </c>
      <c r="E219" s="8" t="s">
        <v>52</v>
      </c>
      <c r="F219" s="7">
        <v>45495.0</v>
      </c>
      <c r="G219" s="3" t="s">
        <v>59</v>
      </c>
      <c r="H219" s="20">
        <v>2268000.0</v>
      </c>
      <c r="I219" s="20">
        <v>2160000.0</v>
      </c>
      <c r="J219" s="3" t="s">
        <v>172</v>
      </c>
      <c r="K219" s="5">
        <v>22.0</v>
      </c>
      <c r="L219" s="3" t="s">
        <v>496</v>
      </c>
      <c r="M219" s="5">
        <v>2021.0</v>
      </c>
      <c r="N219" s="29" t="s">
        <v>1197</v>
      </c>
      <c r="S219" s="21"/>
      <c r="T219" s="21"/>
    </row>
    <row r="220">
      <c r="A220" s="23" t="s">
        <v>1203</v>
      </c>
      <c r="B220" s="3" t="s">
        <v>59</v>
      </c>
      <c r="C220" s="3" t="s">
        <v>1211</v>
      </c>
      <c r="D220" s="3" t="s">
        <v>171</v>
      </c>
      <c r="E220" s="8" t="s">
        <v>52</v>
      </c>
      <c r="F220" s="7">
        <v>43895.0</v>
      </c>
      <c r="G220" s="3" t="s">
        <v>167</v>
      </c>
      <c r="H220" s="20">
        <v>2970000.0</v>
      </c>
      <c r="I220" s="20">
        <v>2160000.0</v>
      </c>
      <c r="J220" s="3" t="s">
        <v>672</v>
      </c>
      <c r="K220" s="5">
        <v>44.0</v>
      </c>
      <c r="L220" s="3" t="s">
        <v>496</v>
      </c>
      <c r="M220" s="5">
        <v>2013.0</v>
      </c>
      <c r="N220" s="29" t="s">
        <v>1212</v>
      </c>
      <c r="S220" s="21"/>
      <c r="T220" s="21"/>
    </row>
    <row r="221">
      <c r="A221" s="3" t="s">
        <v>1397</v>
      </c>
      <c r="B221" s="3" t="s">
        <v>59</v>
      </c>
      <c r="C221" s="3" t="s">
        <v>1399</v>
      </c>
      <c r="D221" s="3" t="s">
        <v>66</v>
      </c>
      <c r="E221" s="8" t="s">
        <v>52</v>
      </c>
      <c r="F221" s="7">
        <v>44446.0</v>
      </c>
      <c r="G221" s="3" t="s">
        <v>59</v>
      </c>
      <c r="H221" s="20">
        <v>2827087.0</v>
      </c>
      <c r="I221" s="20">
        <v>2160000.0</v>
      </c>
      <c r="J221" s="3" t="s">
        <v>72</v>
      </c>
      <c r="K221" s="3"/>
      <c r="L221" s="3" t="s">
        <v>496</v>
      </c>
      <c r="M221" s="3"/>
      <c r="N221" s="3"/>
      <c r="O221" s="1" t="s">
        <v>65</v>
      </c>
      <c r="S221" s="21"/>
      <c r="T221" s="21"/>
    </row>
    <row r="222">
      <c r="A222" s="3" t="s">
        <v>1403</v>
      </c>
      <c r="B222" s="3" t="s">
        <v>76</v>
      </c>
      <c r="C222" s="3" t="s">
        <v>1404</v>
      </c>
      <c r="D222" s="3" t="s">
        <v>171</v>
      </c>
      <c r="E222" s="8" t="s">
        <v>52</v>
      </c>
      <c r="F222" s="7">
        <v>43739.0</v>
      </c>
      <c r="G222" s="3" t="s">
        <v>670</v>
      </c>
      <c r="H222" s="20">
        <v>4892400.0</v>
      </c>
      <c r="I222" s="20">
        <v>2160000.0</v>
      </c>
      <c r="J222" s="3" t="s">
        <v>72</v>
      </c>
      <c r="K222" s="3"/>
      <c r="L222" s="3" t="s">
        <v>496</v>
      </c>
      <c r="M222" s="3"/>
      <c r="N222" s="3"/>
      <c r="O222" s="1" t="s">
        <v>65</v>
      </c>
      <c r="S222" s="21"/>
      <c r="T222" s="21"/>
    </row>
    <row r="223">
      <c r="A223" s="3" t="s">
        <v>1410</v>
      </c>
      <c r="B223" s="3" t="s">
        <v>752</v>
      </c>
      <c r="C223" s="3" t="s">
        <v>1411</v>
      </c>
      <c r="D223" s="3" t="s">
        <v>66</v>
      </c>
      <c r="E223" s="8" t="s">
        <v>52</v>
      </c>
      <c r="F223" s="7">
        <v>42685.0</v>
      </c>
      <c r="G223" s="3" t="s">
        <v>736</v>
      </c>
      <c r="H223" s="20">
        <v>2160000.0</v>
      </c>
      <c r="I223" s="20">
        <v>2160000.0</v>
      </c>
      <c r="J223" s="3" t="s">
        <v>68</v>
      </c>
      <c r="K223" s="3"/>
      <c r="L223" s="3" t="s">
        <v>496</v>
      </c>
      <c r="M223" s="3"/>
      <c r="N223" s="3"/>
      <c r="O223" s="1" t="s">
        <v>65</v>
      </c>
      <c r="S223" s="21"/>
      <c r="T223" s="21"/>
    </row>
    <row r="224">
      <c r="A224" s="3" t="s">
        <v>1412</v>
      </c>
      <c r="B224" s="3" t="s">
        <v>59</v>
      </c>
      <c r="C224" s="3" t="s">
        <v>1413</v>
      </c>
      <c r="D224" s="3" t="s">
        <v>66</v>
      </c>
      <c r="E224" s="8" t="s">
        <v>52</v>
      </c>
      <c r="F224" s="7">
        <v>45275.0</v>
      </c>
      <c r="G224" s="3" t="s">
        <v>59</v>
      </c>
      <c r="H224" s="20">
        <v>2430000.0</v>
      </c>
      <c r="I224" s="20">
        <v>2430000.0</v>
      </c>
      <c r="J224" s="3" t="s">
        <v>172</v>
      </c>
      <c r="K224" s="3"/>
      <c r="L224" s="3" t="s">
        <v>496</v>
      </c>
      <c r="M224" s="3"/>
      <c r="N224" s="3"/>
      <c r="O224" s="1" t="s">
        <v>65</v>
      </c>
      <c r="S224" s="21"/>
      <c r="T224" s="21"/>
    </row>
    <row r="225">
      <c r="A225" s="3" t="s">
        <v>1282</v>
      </c>
      <c r="B225" s="3" t="s">
        <v>38</v>
      </c>
      <c r="C225" s="3" t="s">
        <v>1284</v>
      </c>
      <c r="D225" s="3" t="s">
        <v>171</v>
      </c>
      <c r="E225" s="8" t="s">
        <v>52</v>
      </c>
      <c r="F225" s="7">
        <v>45098.0</v>
      </c>
      <c r="G225" s="3" t="s">
        <v>68</v>
      </c>
      <c r="H225" s="20">
        <v>5823441.0</v>
      </c>
      <c r="I225" s="20">
        <v>2700000.0</v>
      </c>
      <c r="J225" s="3" t="s">
        <v>672</v>
      </c>
      <c r="K225" s="5">
        <v>74.0</v>
      </c>
      <c r="L225" s="3" t="s">
        <v>538</v>
      </c>
      <c r="M225" s="5">
        <v>2016.0</v>
      </c>
      <c r="N225" s="30" t="s">
        <v>1889</v>
      </c>
      <c r="S225" s="21"/>
      <c r="T225" s="21"/>
    </row>
    <row r="226">
      <c r="A226" s="3" t="s">
        <v>1289</v>
      </c>
      <c r="B226" s="3" t="s">
        <v>59</v>
      </c>
      <c r="C226" s="3" t="s">
        <v>1290</v>
      </c>
      <c r="D226" s="3" t="s">
        <v>171</v>
      </c>
      <c r="E226" s="8" t="s">
        <v>52</v>
      </c>
      <c r="F226" s="7">
        <v>45377.0</v>
      </c>
      <c r="G226" s="3" t="s">
        <v>59</v>
      </c>
      <c r="H226" s="20">
        <v>4803671.0</v>
      </c>
      <c r="I226" s="20">
        <v>2700000.0</v>
      </c>
      <c r="J226" s="3" t="s">
        <v>72</v>
      </c>
      <c r="K226" s="5">
        <v>41.0</v>
      </c>
      <c r="L226" s="3" t="s">
        <v>496</v>
      </c>
      <c r="M226" s="5">
        <v>2018.0</v>
      </c>
      <c r="N226" s="29" t="s">
        <v>1291</v>
      </c>
      <c r="S226" s="21"/>
      <c r="T226" s="21"/>
    </row>
    <row r="227">
      <c r="A227" s="3" t="s">
        <v>1296</v>
      </c>
      <c r="B227" s="3" t="s">
        <v>59</v>
      </c>
      <c r="C227" s="3" t="s">
        <v>1297</v>
      </c>
      <c r="D227" s="3" t="s">
        <v>171</v>
      </c>
      <c r="E227" s="8" t="s">
        <v>52</v>
      </c>
      <c r="F227" s="7">
        <v>45222.0</v>
      </c>
      <c r="G227" s="3" t="s">
        <v>59</v>
      </c>
      <c r="H227" s="20">
        <v>2700000.0</v>
      </c>
      <c r="I227" s="20">
        <v>2700000.0</v>
      </c>
      <c r="J227" s="3" t="s">
        <v>72</v>
      </c>
      <c r="K227" s="5">
        <v>22.0</v>
      </c>
      <c r="L227" s="3" t="s">
        <v>496</v>
      </c>
      <c r="M227" s="5">
        <v>2021.0</v>
      </c>
      <c r="N227" s="15" t="s">
        <v>1893</v>
      </c>
      <c r="S227" s="21"/>
      <c r="T227" s="21"/>
    </row>
    <row r="228">
      <c r="A228" s="3" t="s">
        <v>1304</v>
      </c>
      <c r="B228" s="3" t="s">
        <v>59</v>
      </c>
      <c r="C228" s="3" t="s">
        <v>1305</v>
      </c>
      <c r="D228" s="3" t="s">
        <v>488</v>
      </c>
      <c r="E228" s="8" t="s">
        <v>52</v>
      </c>
      <c r="F228" s="7">
        <v>44712.0</v>
      </c>
      <c r="G228" s="3" t="s">
        <v>59</v>
      </c>
      <c r="H228" s="20">
        <v>3132000.0</v>
      </c>
      <c r="I228" s="20">
        <v>2700000.0</v>
      </c>
      <c r="J228" s="3" t="s">
        <v>72</v>
      </c>
      <c r="K228" s="5">
        <v>18.0</v>
      </c>
      <c r="L228" s="3" t="s">
        <v>496</v>
      </c>
      <c r="M228" s="5">
        <v>2016.0</v>
      </c>
      <c r="N228" s="29" t="s">
        <v>1306</v>
      </c>
      <c r="S228" s="21"/>
      <c r="T228" s="21"/>
    </row>
    <row r="229">
      <c r="A229" s="3" t="s">
        <v>1372</v>
      </c>
      <c r="B229" s="3" t="s">
        <v>38</v>
      </c>
      <c r="C229" s="3" t="s">
        <v>1373</v>
      </c>
      <c r="D229" s="3" t="s">
        <v>171</v>
      </c>
      <c r="E229" s="8" t="s">
        <v>52</v>
      </c>
      <c r="F229" s="7">
        <v>45779.0</v>
      </c>
      <c r="G229" s="3" t="s">
        <v>68</v>
      </c>
      <c r="H229" s="20">
        <v>8444063.0</v>
      </c>
      <c r="I229" s="20">
        <v>3132000.0</v>
      </c>
      <c r="J229" s="3" t="s">
        <v>672</v>
      </c>
      <c r="K229" s="5">
        <v>43.0</v>
      </c>
      <c r="L229" s="3" t="s">
        <v>496</v>
      </c>
      <c r="M229" s="5">
        <v>2017.0</v>
      </c>
      <c r="N229" s="30" t="s">
        <v>1898</v>
      </c>
      <c r="S229" s="21"/>
      <c r="T229" s="21"/>
    </row>
    <row r="230">
      <c r="A230" s="3" t="s">
        <v>1382</v>
      </c>
      <c r="B230" s="3" t="s">
        <v>59</v>
      </c>
      <c r="C230" s="3" t="s">
        <v>1385</v>
      </c>
      <c r="D230" s="3" t="s">
        <v>467</v>
      </c>
      <c r="E230" s="8" t="s">
        <v>52</v>
      </c>
      <c r="F230" s="7">
        <v>44806.0</v>
      </c>
      <c r="G230" s="3" t="s">
        <v>59</v>
      </c>
      <c r="H230" s="20">
        <v>4968000.0</v>
      </c>
      <c r="I230" s="20">
        <v>3132000.0</v>
      </c>
      <c r="J230" s="3" t="s">
        <v>72</v>
      </c>
      <c r="K230" s="5">
        <v>30.0</v>
      </c>
      <c r="L230" s="3" t="s">
        <v>496</v>
      </c>
      <c r="M230" s="5">
        <v>2014.0</v>
      </c>
      <c r="N230" s="29" t="s">
        <v>1386</v>
      </c>
      <c r="S230" s="21"/>
      <c r="T230" s="21"/>
    </row>
    <row r="231">
      <c r="A231" s="3" t="s">
        <v>1425</v>
      </c>
      <c r="B231" s="3" t="s">
        <v>38</v>
      </c>
      <c r="C231" s="3" t="s">
        <v>1426</v>
      </c>
      <c r="D231" s="3" t="s">
        <v>171</v>
      </c>
      <c r="E231" s="8" t="s">
        <v>52</v>
      </c>
      <c r="F231" s="7">
        <v>45797.0</v>
      </c>
      <c r="G231" s="3" t="s">
        <v>68</v>
      </c>
      <c r="H231" s="20">
        <v>6.75E7</v>
      </c>
      <c r="I231" s="20">
        <v>2.97E7</v>
      </c>
      <c r="J231" s="3" t="s">
        <v>172</v>
      </c>
      <c r="K231" s="5">
        <v>437.0</v>
      </c>
      <c r="L231" s="3" t="s">
        <v>905</v>
      </c>
      <c r="M231" s="5">
        <v>2013.0</v>
      </c>
      <c r="N231" s="3"/>
      <c r="O231" s="1" t="s">
        <v>65</v>
      </c>
      <c r="S231" s="21"/>
      <c r="T231" s="21"/>
    </row>
    <row r="232">
      <c r="A232" s="23" t="s">
        <v>1432</v>
      </c>
      <c r="B232" s="3" t="s">
        <v>289</v>
      </c>
      <c r="C232" s="3" t="s">
        <v>1433</v>
      </c>
      <c r="D232" s="3" t="s">
        <v>171</v>
      </c>
      <c r="E232" s="8" t="s">
        <v>52</v>
      </c>
      <c r="F232" s="7">
        <v>45805.0</v>
      </c>
      <c r="G232" s="3" t="s">
        <v>670</v>
      </c>
      <c r="H232" s="20">
        <v>3.186E7</v>
      </c>
      <c r="I232" s="20">
        <v>3.024E7</v>
      </c>
      <c r="J232" s="3" t="s">
        <v>72</v>
      </c>
      <c r="K232" s="5">
        <v>348.0</v>
      </c>
      <c r="L232" s="3" t="s">
        <v>905</v>
      </c>
      <c r="M232" s="5">
        <v>2019.0</v>
      </c>
      <c r="N232" s="29" t="s">
        <v>1901</v>
      </c>
      <c r="S232" s="21"/>
      <c r="T232" s="21"/>
    </row>
    <row r="233">
      <c r="A233" s="3" t="s">
        <v>1388</v>
      </c>
      <c r="B233" s="3" t="s">
        <v>76</v>
      </c>
      <c r="C233" s="3" t="s">
        <v>1390</v>
      </c>
      <c r="D233" s="3" t="s">
        <v>66</v>
      </c>
      <c r="E233" s="8" t="s">
        <v>52</v>
      </c>
      <c r="F233" s="7">
        <v>44314.0</v>
      </c>
      <c r="G233" s="3" t="s">
        <v>670</v>
      </c>
      <c r="H233" s="20">
        <v>1.1664E7</v>
      </c>
      <c r="I233" s="20">
        <v>3240000.0</v>
      </c>
      <c r="J233" s="3" t="s">
        <v>72</v>
      </c>
      <c r="K233" s="5">
        <v>48.0</v>
      </c>
      <c r="L233" s="3" t="s">
        <v>496</v>
      </c>
      <c r="M233" s="5">
        <v>2017.0</v>
      </c>
      <c r="N233" s="29" t="s">
        <v>1391</v>
      </c>
      <c r="S233" s="21"/>
      <c r="T233" s="21"/>
    </row>
    <row r="234">
      <c r="A234" s="3" t="s">
        <v>1393</v>
      </c>
      <c r="B234" s="3" t="s">
        <v>59</v>
      </c>
      <c r="C234" s="3" t="s">
        <v>1394</v>
      </c>
      <c r="D234" s="3" t="s">
        <v>397</v>
      </c>
      <c r="E234" s="8" t="s">
        <v>52</v>
      </c>
      <c r="F234" s="7">
        <v>45705.0</v>
      </c>
      <c r="G234" s="3" t="s">
        <v>59</v>
      </c>
      <c r="H234" s="20">
        <v>3240000.0</v>
      </c>
      <c r="I234" s="20">
        <v>3240000.0</v>
      </c>
      <c r="J234" s="3" t="s">
        <v>672</v>
      </c>
      <c r="K234" s="5">
        <v>35.0</v>
      </c>
      <c r="L234" s="3" t="s">
        <v>496</v>
      </c>
      <c r="M234" s="5">
        <v>2022.0</v>
      </c>
      <c r="N234" s="29" t="s">
        <v>1395</v>
      </c>
      <c r="S234" s="21"/>
      <c r="T234" s="21"/>
    </row>
    <row r="235">
      <c r="A235" s="3" t="s">
        <v>1398</v>
      </c>
      <c r="B235" s="3" t="s">
        <v>59</v>
      </c>
      <c r="C235" s="3" t="s">
        <v>1400</v>
      </c>
      <c r="D235" s="3" t="s">
        <v>66</v>
      </c>
      <c r="E235" s="8" t="s">
        <v>52</v>
      </c>
      <c r="F235" s="7">
        <v>45328.0</v>
      </c>
      <c r="G235" s="3" t="s">
        <v>59</v>
      </c>
      <c r="H235" s="20">
        <v>3807000.0</v>
      </c>
      <c r="I235" s="20">
        <v>3240000.0</v>
      </c>
      <c r="J235" s="3" t="s">
        <v>172</v>
      </c>
      <c r="K235" s="5">
        <v>23.0</v>
      </c>
      <c r="L235" s="3" t="s">
        <v>496</v>
      </c>
      <c r="M235" s="5">
        <v>2018.0</v>
      </c>
      <c r="N235" s="15" t="s">
        <v>1909</v>
      </c>
      <c r="S235" s="21"/>
      <c r="T235" s="21"/>
    </row>
    <row r="236">
      <c r="A236" s="3" t="s">
        <v>1447</v>
      </c>
      <c r="B236" s="3" t="s">
        <v>59</v>
      </c>
      <c r="C236" s="3" t="s">
        <v>1448</v>
      </c>
      <c r="D236" s="3" t="s">
        <v>171</v>
      </c>
      <c r="E236" s="8" t="s">
        <v>52</v>
      </c>
      <c r="F236" s="7">
        <v>44327.0</v>
      </c>
      <c r="G236" s="3" t="s">
        <v>167</v>
      </c>
      <c r="H236" s="20">
        <v>4590000.0</v>
      </c>
      <c r="I236" s="20">
        <v>3510000.0</v>
      </c>
      <c r="J236" s="3" t="s">
        <v>72</v>
      </c>
      <c r="K236" s="3"/>
      <c r="L236" s="3" t="s">
        <v>538</v>
      </c>
      <c r="M236" s="3"/>
      <c r="N236" s="3"/>
      <c r="O236" s="1" t="s">
        <v>65</v>
      </c>
      <c r="S236" s="21"/>
      <c r="T236" s="21"/>
    </row>
    <row r="237">
      <c r="A237" s="3" t="s">
        <v>1053</v>
      </c>
      <c r="B237" s="3" t="s">
        <v>38</v>
      </c>
      <c r="C237" s="3" t="s">
        <v>1075</v>
      </c>
      <c r="D237" s="3" t="s">
        <v>1283</v>
      </c>
      <c r="E237" s="8" t="s">
        <v>52</v>
      </c>
      <c r="F237" s="7">
        <v>45643.0</v>
      </c>
      <c r="G237" s="3" t="s">
        <v>167</v>
      </c>
      <c r="H237" s="20">
        <v>1512000.0</v>
      </c>
      <c r="I237" s="20">
        <v>1512000.0</v>
      </c>
      <c r="J237" s="3" t="s">
        <v>172</v>
      </c>
      <c r="K237" s="5">
        <v>32.0</v>
      </c>
      <c r="L237" s="3" t="s">
        <v>496</v>
      </c>
      <c r="M237" s="5">
        <v>2018.0</v>
      </c>
      <c r="N237" s="29" t="s">
        <v>1056</v>
      </c>
      <c r="S237" s="21"/>
      <c r="T237" s="21"/>
    </row>
    <row r="238">
      <c r="A238" s="3" t="s">
        <v>1434</v>
      </c>
      <c r="B238" s="3" t="s">
        <v>59</v>
      </c>
      <c r="C238" s="3" t="s">
        <v>1436</v>
      </c>
      <c r="D238" s="3" t="s">
        <v>1283</v>
      </c>
      <c r="E238" s="8" t="s">
        <v>52</v>
      </c>
      <c r="F238" s="7">
        <v>42956.0</v>
      </c>
      <c r="G238" s="3" t="s">
        <v>59</v>
      </c>
      <c r="H238" s="20">
        <v>3742200.0</v>
      </c>
      <c r="I238" s="20">
        <v>3742200.0</v>
      </c>
      <c r="J238" s="3" t="s">
        <v>72</v>
      </c>
      <c r="K238" s="5">
        <v>52.0</v>
      </c>
      <c r="L238" s="3" t="s">
        <v>538</v>
      </c>
      <c r="M238" s="5">
        <v>2011.0</v>
      </c>
      <c r="N238" s="29" t="s">
        <v>1438</v>
      </c>
      <c r="S238" s="21"/>
      <c r="T238" s="21"/>
    </row>
    <row r="239">
      <c r="A239" s="3" t="s">
        <v>1442</v>
      </c>
      <c r="B239" s="3" t="s">
        <v>59</v>
      </c>
      <c r="C239" s="3" t="s">
        <v>1443</v>
      </c>
      <c r="D239" s="3" t="s">
        <v>397</v>
      </c>
      <c r="E239" s="8" t="s">
        <v>52</v>
      </c>
      <c r="F239" s="7">
        <v>45994.0</v>
      </c>
      <c r="G239" s="3" t="s">
        <v>59</v>
      </c>
      <c r="H239" s="20">
        <v>5400000.0</v>
      </c>
      <c r="I239" s="20">
        <v>3780000.0</v>
      </c>
      <c r="J239" s="3" t="s">
        <v>172</v>
      </c>
      <c r="K239" s="5">
        <v>29.0</v>
      </c>
      <c r="L239" s="3" t="s">
        <v>496</v>
      </c>
      <c r="M239" s="5">
        <v>2021.0</v>
      </c>
      <c r="N239" s="29" t="s">
        <v>1444</v>
      </c>
      <c r="S239" s="21"/>
      <c r="T239" s="21"/>
    </row>
    <row r="240">
      <c r="A240" s="3" t="s">
        <v>1451</v>
      </c>
      <c r="B240" s="3" t="s">
        <v>38</v>
      </c>
      <c r="C240" s="3" t="s">
        <v>1452</v>
      </c>
      <c r="D240" s="3" t="s">
        <v>171</v>
      </c>
      <c r="E240" s="8" t="s">
        <v>52</v>
      </c>
      <c r="F240" s="7">
        <v>43775.0</v>
      </c>
      <c r="G240" s="3" t="s">
        <v>68</v>
      </c>
      <c r="H240" s="20">
        <v>3780000.0</v>
      </c>
      <c r="I240" s="20">
        <v>3780000.0</v>
      </c>
      <c r="J240" s="3" t="s">
        <v>72</v>
      </c>
      <c r="K240" s="5">
        <v>72.0</v>
      </c>
      <c r="L240" s="3" t="s">
        <v>538</v>
      </c>
      <c r="M240" s="5">
        <v>2014.0</v>
      </c>
      <c r="N240" s="29" t="s">
        <v>1453</v>
      </c>
      <c r="S240" s="21"/>
      <c r="T240" s="21"/>
    </row>
    <row r="241">
      <c r="A241" s="3" t="s">
        <v>1463</v>
      </c>
      <c r="B241" s="3" t="s">
        <v>59</v>
      </c>
      <c r="C241" s="3" t="s">
        <v>1464</v>
      </c>
      <c r="D241" s="3" t="s">
        <v>397</v>
      </c>
      <c r="E241" s="8" t="s">
        <v>52</v>
      </c>
      <c r="F241" s="7">
        <v>45636.0</v>
      </c>
      <c r="G241" s="3" t="s">
        <v>59</v>
      </c>
      <c r="H241" s="20">
        <v>4404240.0</v>
      </c>
      <c r="I241" s="20">
        <v>4320000.0</v>
      </c>
      <c r="J241" s="3" t="s">
        <v>72</v>
      </c>
      <c r="K241" s="5">
        <v>52.0</v>
      </c>
      <c r="L241" s="3" t="s">
        <v>538</v>
      </c>
      <c r="M241" s="5">
        <v>2022.0</v>
      </c>
      <c r="N241" s="29" t="s">
        <v>1474</v>
      </c>
      <c r="S241" s="21"/>
      <c r="T241" s="21"/>
    </row>
    <row r="242">
      <c r="A242" s="23" t="s">
        <v>1469</v>
      </c>
      <c r="B242" s="3" t="s">
        <v>38</v>
      </c>
      <c r="C242" s="3" t="s">
        <v>1470</v>
      </c>
      <c r="D242" s="3" t="s">
        <v>171</v>
      </c>
      <c r="E242" s="8" t="s">
        <v>52</v>
      </c>
      <c r="F242" s="7">
        <v>44994.0</v>
      </c>
      <c r="G242" s="3" t="s">
        <v>68</v>
      </c>
      <c r="H242" s="20">
        <v>5299560.0</v>
      </c>
      <c r="I242" s="20">
        <v>4752000.0</v>
      </c>
      <c r="J242" s="3" t="s">
        <v>672</v>
      </c>
      <c r="K242" s="5">
        <v>40.0</v>
      </c>
      <c r="L242" s="3" t="s">
        <v>538</v>
      </c>
      <c r="M242" s="5">
        <v>2016.0</v>
      </c>
      <c r="N242" s="15" t="s">
        <v>1922</v>
      </c>
      <c r="S242" s="21"/>
      <c r="T242" s="21"/>
    </row>
    <row r="243">
      <c r="A243" s="3" t="s">
        <v>1475</v>
      </c>
      <c r="B243" s="3" t="s">
        <v>76</v>
      </c>
      <c r="C243" s="3" t="s">
        <v>1476</v>
      </c>
      <c r="D243" s="3" t="s">
        <v>171</v>
      </c>
      <c r="E243" s="8" t="s">
        <v>52</v>
      </c>
      <c r="F243" s="7">
        <v>44809.0</v>
      </c>
      <c r="G243" s="3" t="s">
        <v>670</v>
      </c>
      <c r="H243" s="20">
        <v>5400000.0</v>
      </c>
      <c r="I243" s="20">
        <v>5400000.0</v>
      </c>
      <c r="J243" s="3" t="s">
        <v>72</v>
      </c>
      <c r="K243" s="5">
        <v>34.0</v>
      </c>
      <c r="L243" s="3" t="s">
        <v>496</v>
      </c>
      <c r="M243" s="5">
        <v>2016.0</v>
      </c>
      <c r="N243" s="29" t="s">
        <v>1537</v>
      </c>
      <c r="S243" s="21"/>
      <c r="T243" s="21"/>
    </row>
    <row r="244">
      <c r="A244" s="3" t="s">
        <v>1477</v>
      </c>
      <c r="B244" s="3" t="s">
        <v>76</v>
      </c>
      <c r="C244" s="3" t="s">
        <v>1478</v>
      </c>
      <c r="D244" s="3" t="s">
        <v>710</v>
      </c>
      <c r="E244" s="8" t="s">
        <v>52</v>
      </c>
      <c r="F244" s="7">
        <v>45740.0</v>
      </c>
      <c r="G244" s="3" t="s">
        <v>670</v>
      </c>
      <c r="H244" s="20">
        <v>6480000.0</v>
      </c>
      <c r="I244" s="20">
        <v>5400000.0</v>
      </c>
      <c r="J244" s="3" t="s">
        <v>672</v>
      </c>
      <c r="K244" s="5">
        <v>67.0</v>
      </c>
      <c r="L244" s="3" t="s">
        <v>514</v>
      </c>
      <c r="M244" s="5">
        <v>2017.0</v>
      </c>
      <c r="N244" s="29" t="s">
        <v>1547</v>
      </c>
      <c r="S244" s="21"/>
      <c r="T244" s="21"/>
    </row>
    <row r="245">
      <c r="A245" s="3" t="s">
        <v>1480</v>
      </c>
      <c r="B245" s="3" t="s">
        <v>59</v>
      </c>
      <c r="C245" s="3" t="s">
        <v>1481</v>
      </c>
      <c r="D245" s="3" t="s">
        <v>1483</v>
      </c>
      <c r="E245" s="8" t="s">
        <v>52</v>
      </c>
      <c r="F245" s="7">
        <v>45401.0</v>
      </c>
      <c r="G245" s="3" t="s">
        <v>59</v>
      </c>
      <c r="H245" s="20">
        <v>8941252.0</v>
      </c>
      <c r="I245" s="20">
        <v>5400000.0</v>
      </c>
      <c r="J245" s="3" t="s">
        <v>72</v>
      </c>
      <c r="K245" s="5">
        <v>37.0</v>
      </c>
      <c r="L245" s="3" t="s">
        <v>496</v>
      </c>
      <c r="M245" s="5">
        <v>2021.0</v>
      </c>
      <c r="N245" s="29" t="s">
        <v>1555</v>
      </c>
      <c r="S245" s="21"/>
      <c r="T245" s="21"/>
    </row>
    <row r="246">
      <c r="A246" s="3" t="s">
        <v>1487</v>
      </c>
      <c r="B246" s="3" t="s">
        <v>38</v>
      </c>
      <c r="C246" s="3" t="s">
        <v>1488</v>
      </c>
      <c r="D246" s="3" t="s">
        <v>171</v>
      </c>
      <c r="E246" s="8" t="s">
        <v>52</v>
      </c>
      <c r="F246" s="7">
        <v>44859.0</v>
      </c>
      <c r="G246" s="3" t="s">
        <v>68</v>
      </c>
      <c r="H246" s="20">
        <v>7776000.0</v>
      </c>
      <c r="I246" s="20">
        <v>5400000.0</v>
      </c>
      <c r="J246" s="3" t="s">
        <v>72</v>
      </c>
      <c r="K246" s="5">
        <v>33.0</v>
      </c>
      <c r="L246" s="3" t="s">
        <v>496</v>
      </c>
      <c r="M246" s="5">
        <v>2021.0</v>
      </c>
      <c r="N246" s="29" t="s">
        <v>1560</v>
      </c>
      <c r="S246" s="21"/>
      <c r="T246" s="21"/>
    </row>
    <row r="247">
      <c r="A247" s="3" t="s">
        <v>1491</v>
      </c>
      <c r="B247" s="3" t="s">
        <v>38</v>
      </c>
      <c r="C247" s="3" t="s">
        <v>1492</v>
      </c>
      <c r="D247" s="3" t="s">
        <v>467</v>
      </c>
      <c r="E247" s="8" t="s">
        <v>52</v>
      </c>
      <c r="F247" s="7">
        <v>45597.0</v>
      </c>
      <c r="G247" s="3" t="s">
        <v>68</v>
      </c>
      <c r="H247" s="20">
        <v>5400000.0</v>
      </c>
      <c r="I247" s="20">
        <v>5400000.0</v>
      </c>
      <c r="J247" s="3" t="s">
        <v>172</v>
      </c>
      <c r="K247" s="5">
        <v>41.0</v>
      </c>
      <c r="L247" s="3" t="s">
        <v>496</v>
      </c>
      <c r="M247" s="5">
        <v>2019.0</v>
      </c>
      <c r="N247" s="29" t="s">
        <v>1570</v>
      </c>
      <c r="S247" s="21"/>
      <c r="T247" s="21"/>
    </row>
    <row r="248">
      <c r="A248" s="3" t="s">
        <v>1494</v>
      </c>
      <c r="B248" s="3" t="s">
        <v>59</v>
      </c>
      <c r="C248" s="3" t="s">
        <v>1495</v>
      </c>
      <c r="D248" s="3" t="s">
        <v>66</v>
      </c>
      <c r="E248" s="8" t="s">
        <v>52</v>
      </c>
      <c r="F248" s="7">
        <v>43678.0</v>
      </c>
      <c r="G248" s="3" t="s">
        <v>59</v>
      </c>
      <c r="H248" s="20">
        <v>5400000.0</v>
      </c>
      <c r="I248" s="20">
        <v>5400000.0</v>
      </c>
      <c r="J248" s="3" t="s">
        <v>72</v>
      </c>
      <c r="K248" s="3"/>
      <c r="L248" s="3" t="s">
        <v>538</v>
      </c>
      <c r="M248" s="3"/>
      <c r="N248" s="3"/>
      <c r="O248" s="1" t="s">
        <v>65</v>
      </c>
      <c r="S248" s="21"/>
      <c r="T248" s="21"/>
    </row>
    <row r="249">
      <c r="A249" s="23" t="s">
        <v>1496</v>
      </c>
      <c r="B249" s="3" t="s">
        <v>38</v>
      </c>
      <c r="C249" s="3" t="s">
        <v>1504</v>
      </c>
      <c r="D249" s="3" t="s">
        <v>66</v>
      </c>
      <c r="E249" s="8" t="s">
        <v>52</v>
      </c>
      <c r="F249" s="7">
        <v>45867.0</v>
      </c>
      <c r="G249" s="3" t="s">
        <v>68</v>
      </c>
      <c r="H249" s="20">
        <v>7128000.0</v>
      </c>
      <c r="I249" s="20">
        <v>5508000.0</v>
      </c>
      <c r="J249" s="3" t="s">
        <v>672</v>
      </c>
      <c r="K249" s="5">
        <v>42.0</v>
      </c>
      <c r="L249" s="3" t="s">
        <v>496</v>
      </c>
      <c r="M249" s="5">
        <v>2021.0</v>
      </c>
      <c r="N249" s="29" t="s">
        <v>1602</v>
      </c>
      <c r="S249" s="21"/>
      <c r="T249" s="21"/>
    </row>
    <row r="250">
      <c r="A250" s="3" t="s">
        <v>1513</v>
      </c>
      <c r="B250" s="3" t="s">
        <v>38</v>
      </c>
      <c r="C250" s="3" t="s">
        <v>1514</v>
      </c>
      <c r="D250" s="3" t="s">
        <v>1311</v>
      </c>
      <c r="E250" s="8" t="s">
        <v>52</v>
      </c>
      <c r="F250" s="7">
        <v>45831.0</v>
      </c>
      <c r="G250" s="3" t="s">
        <v>68</v>
      </c>
      <c r="H250" s="20">
        <v>1.14102E7</v>
      </c>
      <c r="I250" s="20">
        <v>6048000.0</v>
      </c>
      <c r="J250" s="3" t="s">
        <v>72</v>
      </c>
      <c r="K250" s="5">
        <v>46.0</v>
      </c>
      <c r="L250" s="3" t="s">
        <v>496</v>
      </c>
      <c r="M250" s="5">
        <v>2014.0</v>
      </c>
      <c r="N250" s="29" t="s">
        <v>1657</v>
      </c>
      <c r="S250" s="21"/>
      <c r="T250" s="21"/>
    </row>
    <row r="251">
      <c r="A251" s="3" t="s">
        <v>1518</v>
      </c>
      <c r="B251" s="3" t="s">
        <v>76</v>
      </c>
      <c r="C251" s="3" t="s">
        <v>1519</v>
      </c>
      <c r="D251" s="3" t="s">
        <v>970</v>
      </c>
      <c r="E251" s="8" t="s">
        <v>52</v>
      </c>
      <c r="F251" s="7">
        <v>44845.0</v>
      </c>
      <c r="G251" s="3" t="s">
        <v>670</v>
      </c>
      <c r="H251" s="20">
        <v>6588000.0</v>
      </c>
      <c r="I251" s="20">
        <v>6048000.0</v>
      </c>
      <c r="J251" s="3" t="s">
        <v>72</v>
      </c>
      <c r="K251" s="5">
        <v>53.0</v>
      </c>
      <c r="L251" s="3" t="s">
        <v>538</v>
      </c>
      <c r="M251" s="5">
        <v>2016.0</v>
      </c>
      <c r="N251" s="29" t="s">
        <v>1662</v>
      </c>
      <c r="S251" s="21"/>
      <c r="T251" s="21"/>
    </row>
    <row r="252">
      <c r="A252" s="3" t="s">
        <v>1525</v>
      </c>
      <c r="B252" s="3" t="s">
        <v>685</v>
      </c>
      <c r="C252" s="3" t="s">
        <v>323</v>
      </c>
      <c r="D252" s="3" t="s">
        <v>1527</v>
      </c>
      <c r="E252" s="8" t="s">
        <v>52</v>
      </c>
      <c r="F252" s="7">
        <v>45824.0</v>
      </c>
      <c r="G252" s="3" t="s">
        <v>364</v>
      </c>
      <c r="H252" s="20">
        <v>5.4E8</v>
      </c>
      <c r="I252" s="20">
        <v>5.4E8</v>
      </c>
      <c r="J252" s="3" t="s">
        <v>172</v>
      </c>
      <c r="K252" s="3"/>
      <c r="L252" s="3" t="s">
        <v>833</v>
      </c>
      <c r="M252" s="3"/>
      <c r="N252" s="3"/>
      <c r="O252" s="1" t="s">
        <v>65</v>
      </c>
      <c r="S252" s="21"/>
      <c r="T252" s="21"/>
    </row>
    <row r="253">
      <c r="A253" s="3" t="s">
        <v>1530</v>
      </c>
      <c r="B253" s="3" t="s">
        <v>59</v>
      </c>
      <c r="C253" s="3" t="s">
        <v>1531</v>
      </c>
      <c r="D253" s="3" t="s">
        <v>171</v>
      </c>
      <c r="E253" s="8" t="s">
        <v>52</v>
      </c>
      <c r="F253" s="7">
        <v>45779.0</v>
      </c>
      <c r="G253" s="3" t="s">
        <v>59</v>
      </c>
      <c r="H253" s="20">
        <v>1.4148E7</v>
      </c>
      <c r="I253" s="20">
        <v>6480000.0</v>
      </c>
      <c r="J253" s="3" t="s">
        <v>72</v>
      </c>
      <c r="K253" s="5">
        <v>101.0</v>
      </c>
      <c r="L253" s="3" t="s">
        <v>538</v>
      </c>
      <c r="M253" s="5">
        <v>2019.0</v>
      </c>
      <c r="N253" s="29" t="s">
        <v>1707</v>
      </c>
      <c r="S253" s="21"/>
      <c r="T253" s="21"/>
    </row>
    <row r="254">
      <c r="A254" s="3" t="s">
        <v>1534</v>
      </c>
      <c r="B254" s="3" t="s">
        <v>76</v>
      </c>
      <c r="C254" s="3" t="s">
        <v>1535</v>
      </c>
      <c r="D254" s="3" t="s">
        <v>171</v>
      </c>
      <c r="E254" s="8" t="s">
        <v>52</v>
      </c>
      <c r="F254" s="7">
        <v>44944.0</v>
      </c>
      <c r="G254" s="3" t="s">
        <v>670</v>
      </c>
      <c r="H254" s="20">
        <v>8804576.0</v>
      </c>
      <c r="I254" s="20">
        <v>6480000.0</v>
      </c>
      <c r="J254" s="3" t="s">
        <v>72</v>
      </c>
      <c r="K254" s="3"/>
      <c r="L254" s="3" t="s">
        <v>496</v>
      </c>
      <c r="M254" s="5">
        <v>2015.0</v>
      </c>
      <c r="N254" s="29" t="s">
        <v>1711</v>
      </c>
      <c r="S254" s="21"/>
      <c r="T254" s="21"/>
    </row>
    <row r="255">
      <c r="A255" s="3" t="s">
        <v>1538</v>
      </c>
      <c r="B255" s="3" t="s">
        <v>38</v>
      </c>
      <c r="C255" s="3" t="s">
        <v>1540</v>
      </c>
      <c r="D255" s="3" t="s">
        <v>171</v>
      </c>
      <c r="E255" s="8" t="s">
        <v>52</v>
      </c>
      <c r="F255" s="7">
        <v>45441.0</v>
      </c>
      <c r="G255" s="3" t="s">
        <v>68</v>
      </c>
      <c r="H255" s="20">
        <v>7.236E7</v>
      </c>
      <c r="I255" s="20">
        <v>7.236E7</v>
      </c>
      <c r="J255" s="3" t="s">
        <v>72</v>
      </c>
      <c r="K255" s="3"/>
      <c r="L255" s="3" t="s">
        <v>538</v>
      </c>
      <c r="M255" s="3"/>
      <c r="N255" s="3"/>
      <c r="O255" s="1" t="s">
        <v>65</v>
      </c>
      <c r="S255" s="21"/>
      <c r="T255" s="21"/>
    </row>
    <row r="256">
      <c r="A256" s="3" t="s">
        <v>1543</v>
      </c>
      <c r="B256" s="3" t="s">
        <v>76</v>
      </c>
      <c r="C256" s="3" t="s">
        <v>1544</v>
      </c>
      <c r="D256" s="3" t="s">
        <v>171</v>
      </c>
      <c r="E256" s="8" t="s">
        <v>52</v>
      </c>
      <c r="F256" s="7">
        <v>45369.0</v>
      </c>
      <c r="G256" s="3" t="s">
        <v>670</v>
      </c>
      <c r="H256" s="20">
        <v>1.2042E7</v>
      </c>
      <c r="I256" s="20">
        <v>7560000.0</v>
      </c>
      <c r="J256" s="3" t="s">
        <v>672</v>
      </c>
      <c r="K256" s="5">
        <v>60.0</v>
      </c>
      <c r="L256" s="3" t="s">
        <v>538</v>
      </c>
      <c r="M256" s="5">
        <v>2015.0</v>
      </c>
      <c r="N256" s="29" t="s">
        <v>1733</v>
      </c>
      <c r="S256" s="21"/>
      <c r="T256" s="21"/>
    </row>
    <row r="257">
      <c r="A257" s="3" t="s">
        <v>1548</v>
      </c>
      <c r="B257" s="3" t="s">
        <v>59</v>
      </c>
      <c r="C257" s="3" t="s">
        <v>1549</v>
      </c>
      <c r="D257" s="3" t="s">
        <v>171</v>
      </c>
      <c r="E257" s="8" t="s">
        <v>52</v>
      </c>
      <c r="F257" s="7">
        <v>44403.0</v>
      </c>
      <c r="G257" s="3" t="s">
        <v>59</v>
      </c>
      <c r="H257" s="20">
        <v>8208000.0</v>
      </c>
      <c r="I257" s="20">
        <v>8208000.0</v>
      </c>
      <c r="J257" s="3" t="s">
        <v>672</v>
      </c>
      <c r="K257" s="5">
        <v>18.0</v>
      </c>
      <c r="L257" s="3" t="s">
        <v>496</v>
      </c>
      <c r="M257" s="5">
        <v>2020.0</v>
      </c>
      <c r="N257" s="29" t="s">
        <v>1754</v>
      </c>
      <c r="S257" s="21"/>
      <c r="T257" s="21"/>
    </row>
    <row r="258">
      <c r="A258" s="3" t="s">
        <v>1551</v>
      </c>
      <c r="B258" s="3" t="s">
        <v>685</v>
      </c>
      <c r="C258" s="3" t="s">
        <v>1552</v>
      </c>
      <c r="D258" s="3" t="s">
        <v>171</v>
      </c>
      <c r="E258" s="8" t="s">
        <v>52</v>
      </c>
      <c r="F258" s="7">
        <v>45798.0</v>
      </c>
      <c r="G258" s="3" t="s">
        <v>167</v>
      </c>
      <c r="H258" s="20">
        <v>1.566E9</v>
      </c>
      <c r="I258" s="20">
        <v>8.1E8</v>
      </c>
      <c r="J258" s="3" t="s">
        <v>72</v>
      </c>
      <c r="K258" s="3"/>
      <c r="L258" s="3" t="s">
        <v>833</v>
      </c>
      <c r="M258" s="3"/>
      <c r="N258" s="3"/>
      <c r="O258" s="1" t="s">
        <v>65</v>
      </c>
      <c r="S258" s="21"/>
      <c r="T258" s="21"/>
    </row>
    <row r="259">
      <c r="A259" s="3" t="s">
        <v>1556</v>
      </c>
      <c r="B259" s="3" t="s">
        <v>76</v>
      </c>
      <c r="C259" s="3" t="s">
        <v>1557</v>
      </c>
      <c r="D259" s="3" t="s">
        <v>1558</v>
      </c>
      <c r="E259" s="8" t="s">
        <v>52</v>
      </c>
      <c r="F259" s="7">
        <v>38737.0</v>
      </c>
      <c r="G259" s="3" t="s">
        <v>670</v>
      </c>
      <c r="H259" s="20">
        <v>9180000.0</v>
      </c>
      <c r="I259" s="20">
        <v>9180000.0</v>
      </c>
      <c r="J259" s="3" t="s">
        <v>172</v>
      </c>
      <c r="K259" s="3"/>
      <c r="L259" s="3" t="s">
        <v>538</v>
      </c>
      <c r="M259" s="3"/>
      <c r="N259" s="3"/>
      <c r="O259" s="1" t="s">
        <v>65</v>
      </c>
      <c r="S259" s="21"/>
      <c r="T259" s="21"/>
    </row>
    <row r="260">
      <c r="A260" s="3" t="s">
        <v>1561</v>
      </c>
      <c r="B260" s="3" t="s">
        <v>76</v>
      </c>
      <c r="C260" s="3" t="s">
        <v>1562</v>
      </c>
      <c r="D260" s="3" t="s">
        <v>66</v>
      </c>
      <c r="E260" s="8" t="s">
        <v>52</v>
      </c>
      <c r="F260" s="7">
        <v>45416.0</v>
      </c>
      <c r="G260" s="3" t="s">
        <v>670</v>
      </c>
      <c r="H260" s="20">
        <v>9288000.0</v>
      </c>
      <c r="I260" s="20">
        <v>9288000.0</v>
      </c>
      <c r="J260" s="3" t="s">
        <v>172</v>
      </c>
      <c r="K260" s="3"/>
      <c r="L260" s="3" t="s">
        <v>496</v>
      </c>
      <c r="M260" s="3"/>
      <c r="N260" s="3"/>
      <c r="O260" s="1" t="s">
        <v>65</v>
      </c>
      <c r="S260" s="21"/>
      <c r="T260" s="21"/>
    </row>
    <row r="261">
      <c r="A261" s="3" t="s">
        <v>1564</v>
      </c>
      <c r="B261" s="3" t="s">
        <v>76</v>
      </c>
      <c r="C261" s="3" t="s">
        <v>1566</v>
      </c>
      <c r="D261" s="3" t="s">
        <v>710</v>
      </c>
      <c r="E261" s="8" t="s">
        <v>52</v>
      </c>
      <c r="F261" s="7">
        <v>44908.0</v>
      </c>
      <c r="G261" s="3" t="s">
        <v>670</v>
      </c>
      <c r="H261" s="20">
        <v>1.0661143E7</v>
      </c>
      <c r="I261" s="20">
        <v>1.0584E7</v>
      </c>
      <c r="J261" s="3" t="s">
        <v>72</v>
      </c>
      <c r="K261" s="5">
        <v>28.0</v>
      </c>
      <c r="L261" s="3" t="s">
        <v>496</v>
      </c>
      <c r="M261" s="5">
        <v>2010.0</v>
      </c>
      <c r="N261" s="29" t="s">
        <v>1823</v>
      </c>
      <c r="S261" s="21"/>
      <c r="T261" s="21"/>
    </row>
    <row r="262">
      <c r="A262" s="3" t="s">
        <v>1571</v>
      </c>
      <c r="B262" s="3" t="s">
        <v>685</v>
      </c>
      <c r="C262" s="3" t="s">
        <v>1572</v>
      </c>
      <c r="D262" s="3" t="s">
        <v>48</v>
      </c>
      <c r="E262" s="8" t="s">
        <v>51</v>
      </c>
      <c r="F262" s="7">
        <v>46057.0</v>
      </c>
      <c r="G262" s="3" t="s">
        <v>364</v>
      </c>
      <c r="H262" s="20">
        <v>1.3984651E8</v>
      </c>
      <c r="I262" s="20">
        <v>4.255E7</v>
      </c>
      <c r="J262" s="3" t="s">
        <v>172</v>
      </c>
      <c r="K262" s="3"/>
      <c r="L262" s="3" t="s">
        <v>496</v>
      </c>
      <c r="M262" s="3"/>
      <c r="N262" s="3"/>
      <c r="O262" s="1" t="s">
        <v>65</v>
      </c>
      <c r="S262" s="21"/>
      <c r="T262" s="21"/>
    </row>
    <row r="263">
      <c r="A263" s="3" t="s">
        <v>1575</v>
      </c>
      <c r="B263" s="3" t="s">
        <v>685</v>
      </c>
      <c r="C263" s="3" t="s">
        <v>1578</v>
      </c>
      <c r="D263" s="3" t="s">
        <v>188</v>
      </c>
      <c r="E263" s="8" t="s">
        <v>51</v>
      </c>
      <c r="F263" s="7">
        <v>46035.0</v>
      </c>
      <c r="G263" s="3" t="s">
        <v>364</v>
      </c>
      <c r="H263" s="20">
        <v>8.0866769E7</v>
      </c>
      <c r="I263" s="20">
        <v>6.384202E7</v>
      </c>
      <c r="J263" s="3" t="s">
        <v>172</v>
      </c>
      <c r="K263" s="3"/>
      <c r="L263" s="3" t="s">
        <v>496</v>
      </c>
      <c r="M263" s="3"/>
      <c r="N263" s="3"/>
      <c r="O263" s="1" t="s">
        <v>65</v>
      </c>
      <c r="S263" s="21"/>
      <c r="T263" s="21"/>
    </row>
    <row r="264">
      <c r="A264" s="3" t="s">
        <v>1582</v>
      </c>
      <c r="B264" s="3" t="s">
        <v>391</v>
      </c>
      <c r="C264" s="3" t="s">
        <v>1583</v>
      </c>
      <c r="D264" s="3" t="s">
        <v>488</v>
      </c>
      <c r="E264" s="8" t="s">
        <v>52</v>
      </c>
      <c r="F264" s="7">
        <v>43364.0</v>
      </c>
      <c r="G264" s="3" t="s">
        <v>736</v>
      </c>
      <c r="H264" s="20">
        <v>3.174E7</v>
      </c>
      <c r="I264" s="20">
        <v>3.174E7</v>
      </c>
      <c r="J264" s="3" t="s">
        <v>72</v>
      </c>
      <c r="K264" s="3"/>
      <c r="L264" s="3" t="s">
        <v>496</v>
      </c>
      <c r="M264" s="3"/>
      <c r="N264" s="3"/>
      <c r="O264" s="1" t="s">
        <v>65</v>
      </c>
      <c r="S264" s="21"/>
      <c r="T264" s="21"/>
    </row>
    <row r="265">
      <c r="A265" s="3" t="s">
        <v>1589</v>
      </c>
      <c r="B265" s="3" t="s">
        <v>685</v>
      </c>
      <c r="C265" s="3" t="s">
        <v>1457</v>
      </c>
      <c r="D265" s="3" t="s">
        <v>1591</v>
      </c>
      <c r="E265" s="8" t="s">
        <v>51</v>
      </c>
      <c r="F265" s="7">
        <v>45149.0</v>
      </c>
      <c r="G265" s="3" t="s">
        <v>364</v>
      </c>
      <c r="H265" s="20">
        <v>2.16E8</v>
      </c>
      <c r="I265" s="20">
        <v>2.16E8</v>
      </c>
      <c r="J265" s="3" t="s">
        <v>72</v>
      </c>
      <c r="K265" s="3"/>
      <c r="L265" s="3" t="s">
        <v>1286</v>
      </c>
      <c r="M265" s="3"/>
      <c r="N265" s="3"/>
      <c r="O265" s="1" t="s">
        <v>65</v>
      </c>
      <c r="S265" s="21"/>
      <c r="T265" s="21"/>
    </row>
    <row r="266">
      <c r="A266" s="3" t="s">
        <v>1595</v>
      </c>
      <c r="B266" s="3" t="s">
        <v>38</v>
      </c>
      <c r="C266" s="3" t="s">
        <v>1596</v>
      </c>
      <c r="D266" s="3" t="s">
        <v>46</v>
      </c>
      <c r="E266" s="8" t="s">
        <v>51</v>
      </c>
      <c r="F266" s="7">
        <v>44517.0</v>
      </c>
      <c r="G266" s="3" t="s">
        <v>68</v>
      </c>
      <c r="H266" s="20">
        <v>2.52E8</v>
      </c>
      <c r="I266" s="20">
        <v>2.52E8</v>
      </c>
      <c r="J266" s="3" t="s">
        <v>106</v>
      </c>
      <c r="K266" s="3"/>
      <c r="L266" s="3" t="s">
        <v>514</v>
      </c>
      <c r="M266" s="5">
        <v>2015.0</v>
      </c>
      <c r="N266" s="15" t="s">
        <v>1948</v>
      </c>
      <c r="S266" s="21"/>
      <c r="T266" s="21"/>
    </row>
    <row r="267">
      <c r="A267" s="3" t="s">
        <v>1088</v>
      </c>
      <c r="B267" s="3" t="s">
        <v>59</v>
      </c>
      <c r="C267" s="3" t="s">
        <v>1089</v>
      </c>
      <c r="D267" s="3" t="s">
        <v>261</v>
      </c>
      <c r="E267" s="8" t="s">
        <v>51</v>
      </c>
      <c r="F267" s="7">
        <v>45425.0</v>
      </c>
      <c r="G267" s="3" t="s">
        <v>59</v>
      </c>
      <c r="H267" s="20">
        <v>3300000.0</v>
      </c>
      <c r="I267" s="20">
        <v>1800000.0</v>
      </c>
      <c r="J267" s="3" t="s">
        <v>72</v>
      </c>
      <c r="K267" s="5">
        <v>41.0</v>
      </c>
      <c r="L267" s="3" t="s">
        <v>496</v>
      </c>
      <c r="M267" s="5">
        <v>2022.0</v>
      </c>
      <c r="N267" s="29" t="s">
        <v>1090</v>
      </c>
      <c r="S267" s="21"/>
      <c r="T267" s="21"/>
    </row>
    <row r="268">
      <c r="A268" s="23" t="s">
        <v>1340</v>
      </c>
      <c r="B268" s="3" t="s">
        <v>76</v>
      </c>
      <c r="C268" s="3" t="s">
        <v>1343</v>
      </c>
      <c r="D268" s="3" t="s">
        <v>630</v>
      </c>
      <c r="E268" s="8" t="s">
        <v>51</v>
      </c>
      <c r="F268" s="7">
        <v>46000.0</v>
      </c>
      <c r="G268" s="3" t="s">
        <v>84</v>
      </c>
      <c r="H268" s="20">
        <v>5184000.0</v>
      </c>
      <c r="I268" s="20">
        <v>3060000.0</v>
      </c>
      <c r="J268" s="3" t="s">
        <v>72</v>
      </c>
      <c r="K268" s="5">
        <v>83.0</v>
      </c>
      <c r="L268" s="3" t="s">
        <v>538</v>
      </c>
      <c r="M268" s="5">
        <v>2021.0</v>
      </c>
      <c r="N268" s="29" t="s">
        <v>1346</v>
      </c>
      <c r="S268" s="21"/>
      <c r="T268" s="21"/>
    </row>
    <row r="269">
      <c r="A269" s="3" t="s">
        <v>1351</v>
      </c>
      <c r="B269" s="3" t="s">
        <v>76</v>
      </c>
      <c r="C269" s="3" t="s">
        <v>1352</v>
      </c>
      <c r="D269" s="3" t="s">
        <v>46</v>
      </c>
      <c r="E269" s="8" t="s">
        <v>51</v>
      </c>
      <c r="F269" s="7">
        <v>45349.0</v>
      </c>
      <c r="G269" s="3" t="s">
        <v>84</v>
      </c>
      <c r="H269" s="20">
        <v>6660000.0</v>
      </c>
      <c r="I269" s="20">
        <v>3060000.0</v>
      </c>
      <c r="J269" s="3" t="s">
        <v>72</v>
      </c>
      <c r="K269" s="5">
        <v>50.0</v>
      </c>
      <c r="L269" s="3" t="s">
        <v>496</v>
      </c>
      <c r="M269" s="5">
        <v>2017.0</v>
      </c>
      <c r="N269" s="29" t="s">
        <v>1356</v>
      </c>
      <c r="S269" s="21"/>
      <c r="T269" s="21"/>
    </row>
    <row r="270">
      <c r="A270" s="3" t="s">
        <v>1407</v>
      </c>
      <c r="B270" s="3" t="s">
        <v>38</v>
      </c>
      <c r="C270" s="3" t="s">
        <v>1408</v>
      </c>
      <c r="D270" s="3" t="s">
        <v>46</v>
      </c>
      <c r="E270" s="8" t="s">
        <v>51</v>
      </c>
      <c r="F270" s="7">
        <v>45985.0</v>
      </c>
      <c r="G270" s="3" t="s">
        <v>68</v>
      </c>
      <c r="H270" s="20">
        <v>8100000.0</v>
      </c>
      <c r="I270" s="20">
        <v>3240000.0</v>
      </c>
      <c r="J270" s="3" t="s">
        <v>172</v>
      </c>
      <c r="K270" s="5">
        <v>117.0</v>
      </c>
      <c r="L270" s="3" t="s">
        <v>514</v>
      </c>
      <c r="M270" s="5">
        <v>2019.0</v>
      </c>
      <c r="N270" s="29" t="s">
        <v>1409</v>
      </c>
      <c r="S270" s="21"/>
      <c r="T270" s="21"/>
    </row>
    <row r="271">
      <c r="A271" s="3" t="s">
        <v>1456</v>
      </c>
      <c r="B271" s="3" t="s">
        <v>59</v>
      </c>
      <c r="C271" s="3" t="s">
        <v>1457</v>
      </c>
      <c r="D271" s="3" t="s">
        <v>46</v>
      </c>
      <c r="E271" s="8" t="s">
        <v>51</v>
      </c>
      <c r="F271" s="7">
        <v>44874.0</v>
      </c>
      <c r="G271" s="3" t="s">
        <v>59</v>
      </c>
      <c r="H271" s="20">
        <v>6000000.0</v>
      </c>
      <c r="I271" s="20">
        <v>3780000.0</v>
      </c>
      <c r="J271" s="3" t="s">
        <v>72</v>
      </c>
      <c r="K271" s="5">
        <v>76.0</v>
      </c>
      <c r="L271" s="3" t="s">
        <v>538</v>
      </c>
      <c r="M271" s="5">
        <v>2021.0</v>
      </c>
      <c r="N271" s="29" t="s">
        <v>1458</v>
      </c>
      <c r="S271" s="21"/>
      <c r="T271" s="21"/>
    </row>
    <row r="272">
      <c r="A272" s="3" t="s">
        <v>1613</v>
      </c>
      <c r="B272" s="3" t="s">
        <v>38</v>
      </c>
      <c r="C272" s="3" t="s">
        <v>368</v>
      </c>
      <c r="D272" s="3" t="s">
        <v>612</v>
      </c>
      <c r="E272" s="8" t="s">
        <v>51</v>
      </c>
      <c r="F272" s="7">
        <v>45523.0</v>
      </c>
      <c r="G272" s="3" t="s">
        <v>68</v>
      </c>
      <c r="H272" s="20">
        <v>4.5E7</v>
      </c>
      <c r="I272" s="20">
        <v>4.5E7</v>
      </c>
      <c r="J272" s="3" t="s">
        <v>172</v>
      </c>
      <c r="K272" s="5">
        <v>48.0</v>
      </c>
      <c r="L272" s="3" t="s">
        <v>496</v>
      </c>
      <c r="M272" s="5">
        <v>2021.0</v>
      </c>
      <c r="N272" s="29" t="s">
        <v>1956</v>
      </c>
      <c r="S272" s="21"/>
      <c r="T272" s="21"/>
    </row>
    <row r="273">
      <c r="A273" s="3" t="s">
        <v>1617</v>
      </c>
      <c r="B273" s="3" t="s">
        <v>59</v>
      </c>
      <c r="C273" s="3" t="s">
        <v>1618</v>
      </c>
      <c r="D273" s="3" t="s">
        <v>46</v>
      </c>
      <c r="E273" s="8" t="s">
        <v>51</v>
      </c>
      <c r="F273" s="7">
        <v>45553.0</v>
      </c>
      <c r="G273" s="3" t="s">
        <v>59</v>
      </c>
      <c r="H273" s="20">
        <v>5.4E7</v>
      </c>
      <c r="I273" s="20">
        <v>5.4E7</v>
      </c>
      <c r="J273" s="3" t="s">
        <v>172</v>
      </c>
      <c r="K273" s="3"/>
      <c r="L273" s="3" t="s">
        <v>905</v>
      </c>
      <c r="M273" s="3"/>
      <c r="N273" s="3"/>
      <c r="O273" s="1" t="s">
        <v>65</v>
      </c>
      <c r="S273" s="21"/>
      <c r="T273" s="21"/>
    </row>
    <row r="274">
      <c r="A274" s="3" t="s">
        <v>1622</v>
      </c>
      <c r="B274" s="3" t="s">
        <v>752</v>
      </c>
      <c r="C274" s="3" t="s">
        <v>1623</v>
      </c>
      <c r="D274" s="3" t="s">
        <v>188</v>
      </c>
      <c r="E274" s="8" t="s">
        <v>51</v>
      </c>
      <c r="F274" s="7">
        <v>44503.0</v>
      </c>
      <c r="G274" s="3" t="s">
        <v>393</v>
      </c>
      <c r="H274" s="20">
        <v>8.35E7</v>
      </c>
      <c r="I274" s="20">
        <v>5.4E7</v>
      </c>
      <c r="J274" s="3" t="s">
        <v>72</v>
      </c>
      <c r="K274" s="3"/>
      <c r="L274" s="3" t="s">
        <v>514</v>
      </c>
      <c r="M274" s="3"/>
      <c r="N274" s="3"/>
      <c r="O274" s="1" t="s">
        <v>65</v>
      </c>
      <c r="S274" s="21"/>
      <c r="T274" s="21"/>
    </row>
    <row r="275">
      <c r="A275" s="3" t="s">
        <v>1629</v>
      </c>
      <c r="B275" s="3" t="s">
        <v>320</v>
      </c>
      <c r="C275" s="3" t="s">
        <v>1631</v>
      </c>
      <c r="D275" s="3" t="s">
        <v>1632</v>
      </c>
      <c r="E275" s="8" t="s">
        <v>51</v>
      </c>
      <c r="F275" s="7">
        <v>45506.0</v>
      </c>
      <c r="G275" s="3" t="s">
        <v>364</v>
      </c>
      <c r="H275" s="20">
        <v>1.314E8</v>
      </c>
      <c r="I275" s="20">
        <v>5.58E7</v>
      </c>
      <c r="J275" s="3" t="s">
        <v>72</v>
      </c>
      <c r="K275" s="3"/>
      <c r="L275" s="3" t="s">
        <v>1144</v>
      </c>
      <c r="M275" s="3"/>
      <c r="N275" s="3"/>
      <c r="O275" s="1" t="s">
        <v>65</v>
      </c>
      <c r="S275" s="21"/>
      <c r="T275" s="21"/>
    </row>
    <row r="276">
      <c r="A276" s="3" t="s">
        <v>1609</v>
      </c>
      <c r="B276" s="3" t="s">
        <v>76</v>
      </c>
      <c r="C276" s="3" t="s">
        <v>1610</v>
      </c>
      <c r="D276" s="3" t="s">
        <v>46</v>
      </c>
      <c r="E276" s="8" t="s">
        <v>51</v>
      </c>
      <c r="F276" s="7">
        <v>44474.0</v>
      </c>
      <c r="G276" s="3" t="s">
        <v>84</v>
      </c>
      <c r="H276" s="20">
        <v>7300000.0</v>
      </c>
      <c r="I276" s="20">
        <v>5760000.0</v>
      </c>
      <c r="J276" s="3" t="s">
        <v>72</v>
      </c>
      <c r="K276" s="5">
        <v>83.0</v>
      </c>
      <c r="L276" s="3" t="s">
        <v>538</v>
      </c>
      <c r="M276" s="5">
        <v>2019.0</v>
      </c>
      <c r="N276" s="29" t="s">
        <v>1612</v>
      </c>
      <c r="S276" s="21"/>
      <c r="T276" s="21"/>
    </row>
    <row r="277">
      <c r="A277" s="3" t="s">
        <v>1637</v>
      </c>
      <c r="B277" s="3" t="s">
        <v>59</v>
      </c>
      <c r="C277" s="3" t="s">
        <v>1638</v>
      </c>
      <c r="D277" s="3" t="s">
        <v>46</v>
      </c>
      <c r="E277" s="8" t="s">
        <v>51</v>
      </c>
      <c r="F277" s="7">
        <v>45874.0</v>
      </c>
      <c r="G277" s="3" t="s">
        <v>59</v>
      </c>
      <c r="H277" s="20">
        <v>6300000.0</v>
      </c>
      <c r="I277" s="20">
        <v>6300000.0</v>
      </c>
      <c r="J277" s="3" t="s">
        <v>72</v>
      </c>
      <c r="K277" s="5">
        <v>73.0</v>
      </c>
      <c r="L277" s="3" t="s">
        <v>538</v>
      </c>
      <c r="M277" s="5">
        <v>2025.0</v>
      </c>
      <c r="N277" s="29" t="s">
        <v>1681</v>
      </c>
      <c r="S277" s="21"/>
      <c r="T277" s="21"/>
    </row>
    <row r="278">
      <c r="A278" s="3" t="s">
        <v>1640</v>
      </c>
      <c r="B278" s="3" t="s">
        <v>76</v>
      </c>
      <c r="C278" s="3" t="s">
        <v>1642</v>
      </c>
      <c r="D278" s="3" t="s">
        <v>46</v>
      </c>
      <c r="E278" s="8" t="s">
        <v>51</v>
      </c>
      <c r="F278" s="7">
        <v>44823.0</v>
      </c>
      <c r="G278" s="3" t="s">
        <v>84</v>
      </c>
      <c r="H278" s="20">
        <v>7200000.0</v>
      </c>
      <c r="I278" s="20">
        <v>7200000.0</v>
      </c>
      <c r="J278" s="3" t="s">
        <v>72</v>
      </c>
      <c r="K278" s="5">
        <v>252.0</v>
      </c>
      <c r="L278" s="3" t="s">
        <v>905</v>
      </c>
      <c r="M278" s="5">
        <v>2015.0</v>
      </c>
      <c r="N278" s="29" t="s">
        <v>1727</v>
      </c>
      <c r="S278" s="21"/>
      <c r="T278" s="21"/>
    </row>
    <row r="279">
      <c r="A279" s="3" t="s">
        <v>1644</v>
      </c>
      <c r="B279" s="3" t="s">
        <v>289</v>
      </c>
      <c r="C279" s="3" t="s">
        <v>1645</v>
      </c>
      <c r="D279" s="3" t="s">
        <v>930</v>
      </c>
      <c r="E279" s="8" t="s">
        <v>51</v>
      </c>
      <c r="F279" s="7">
        <v>45638.0</v>
      </c>
      <c r="G279" s="3" t="s">
        <v>84</v>
      </c>
      <c r="H279" s="20">
        <v>2.16E7</v>
      </c>
      <c r="I279" s="20">
        <v>7740000.0</v>
      </c>
      <c r="J279" s="3" t="s">
        <v>172</v>
      </c>
      <c r="K279" s="5">
        <v>636.0</v>
      </c>
      <c r="L279" s="3" t="s">
        <v>783</v>
      </c>
      <c r="M279" s="5">
        <v>2024.0</v>
      </c>
      <c r="N279" s="29" t="s">
        <v>1740</v>
      </c>
      <c r="S279" s="21"/>
      <c r="T279" s="21"/>
    </row>
    <row r="280">
      <c r="A280" s="3" t="s">
        <v>779</v>
      </c>
      <c r="B280" s="3" t="s">
        <v>59</v>
      </c>
      <c r="C280" s="3" t="s">
        <v>780</v>
      </c>
      <c r="D280" s="3" t="s">
        <v>630</v>
      </c>
      <c r="E280" s="8" t="s">
        <v>51</v>
      </c>
      <c r="F280" s="7">
        <v>43993.0</v>
      </c>
      <c r="G280" s="3" t="s">
        <v>167</v>
      </c>
      <c r="H280" s="20">
        <v>720000.0</v>
      </c>
      <c r="I280" s="20">
        <v>720000.0</v>
      </c>
      <c r="J280" s="3" t="s">
        <v>172</v>
      </c>
      <c r="K280" s="5">
        <v>649.0</v>
      </c>
      <c r="L280" s="3" t="s">
        <v>783</v>
      </c>
      <c r="M280" s="5">
        <v>2017.0</v>
      </c>
      <c r="N280" s="29" t="s">
        <v>784</v>
      </c>
      <c r="S280" s="21"/>
      <c r="T280" s="21"/>
    </row>
    <row r="281">
      <c r="A281" s="3" t="s">
        <v>1650</v>
      </c>
      <c r="B281" s="3" t="s">
        <v>320</v>
      </c>
      <c r="C281" s="3" t="s">
        <v>1651</v>
      </c>
      <c r="D281" s="3" t="s">
        <v>1652</v>
      </c>
      <c r="E281" s="8" t="s">
        <v>51</v>
      </c>
      <c r="F281" s="7">
        <v>45854.0</v>
      </c>
      <c r="G281" s="3" t="s">
        <v>364</v>
      </c>
      <c r="H281" s="20">
        <v>9.0E7</v>
      </c>
      <c r="I281" s="20">
        <v>9.0E7</v>
      </c>
      <c r="J281" s="3" t="s">
        <v>72</v>
      </c>
      <c r="K281" s="3"/>
      <c r="L281" s="3" t="s">
        <v>514</v>
      </c>
      <c r="M281" s="3"/>
      <c r="N281" s="3"/>
      <c r="O281" s="1" t="s">
        <v>65</v>
      </c>
      <c r="S281" s="21"/>
      <c r="T281" s="21"/>
    </row>
    <row r="282">
      <c r="A282" s="3" t="s">
        <v>1655</v>
      </c>
      <c r="B282" s="3" t="s">
        <v>59</v>
      </c>
      <c r="C282" s="3" t="s">
        <v>1656</v>
      </c>
      <c r="D282" s="3" t="s">
        <v>261</v>
      </c>
      <c r="E282" s="8" t="s">
        <v>51</v>
      </c>
      <c r="F282" s="7">
        <v>45810.0</v>
      </c>
      <c r="G282" s="3" t="s">
        <v>59</v>
      </c>
      <c r="H282" s="20">
        <v>1.26E7</v>
      </c>
      <c r="I282" s="20">
        <v>9000000.0</v>
      </c>
      <c r="J282" s="3" t="s">
        <v>172</v>
      </c>
      <c r="K282" s="5">
        <v>181.0</v>
      </c>
      <c r="L282" s="3" t="s">
        <v>514</v>
      </c>
      <c r="M282" s="5">
        <v>2016.0</v>
      </c>
      <c r="N282" s="29" t="s">
        <v>1764</v>
      </c>
      <c r="S282" s="21"/>
      <c r="T282" s="21"/>
    </row>
    <row r="283">
      <c r="A283" s="3" t="s">
        <v>843</v>
      </c>
      <c r="B283" s="3" t="s">
        <v>59</v>
      </c>
      <c r="C283" s="3" t="s">
        <v>844</v>
      </c>
      <c r="D283" s="3" t="s">
        <v>46</v>
      </c>
      <c r="E283" s="8" t="s">
        <v>51</v>
      </c>
      <c r="F283" s="7">
        <v>45558.0</v>
      </c>
      <c r="G283" s="3" t="s">
        <v>59</v>
      </c>
      <c r="H283" s="20">
        <v>3960000.0</v>
      </c>
      <c r="I283" s="20">
        <v>900000.0</v>
      </c>
      <c r="J283" s="3" t="s">
        <v>172</v>
      </c>
      <c r="K283" s="5">
        <v>11.0</v>
      </c>
      <c r="L283" s="3" t="s">
        <v>496</v>
      </c>
      <c r="M283" s="5">
        <v>2020.0</v>
      </c>
      <c r="N283" s="29" t="s">
        <v>845</v>
      </c>
      <c r="S283" s="21"/>
      <c r="T283" s="21"/>
    </row>
    <row r="284">
      <c r="A284" s="3" t="s">
        <v>1665</v>
      </c>
      <c r="B284" s="3" t="s">
        <v>38</v>
      </c>
      <c r="C284" s="3" t="s">
        <v>1666</v>
      </c>
      <c r="D284" s="3" t="s">
        <v>46</v>
      </c>
      <c r="E284" s="8" t="s">
        <v>51</v>
      </c>
      <c r="F284" s="7">
        <v>45939.0</v>
      </c>
      <c r="G284" s="3" t="s">
        <v>68</v>
      </c>
      <c r="H284" s="20">
        <v>1.998E7</v>
      </c>
      <c r="I284" s="20">
        <v>1.08E7</v>
      </c>
      <c r="J284" s="3" t="s">
        <v>172</v>
      </c>
      <c r="K284" s="5">
        <v>49.0</v>
      </c>
      <c r="L284" s="3" t="s">
        <v>496</v>
      </c>
      <c r="M284" s="5">
        <v>2020.0</v>
      </c>
      <c r="N284" s="29" t="s">
        <v>1852</v>
      </c>
      <c r="S284" s="21"/>
      <c r="T284" s="21"/>
    </row>
    <row r="285">
      <c r="A285" s="3" t="s">
        <v>1672</v>
      </c>
      <c r="B285" s="3" t="s">
        <v>38</v>
      </c>
      <c r="C285" s="3" t="s">
        <v>368</v>
      </c>
      <c r="D285" s="3" t="s">
        <v>1673</v>
      </c>
      <c r="E285" s="8" t="s">
        <v>51</v>
      </c>
      <c r="F285" s="7">
        <v>45474.0</v>
      </c>
      <c r="G285" s="3" t="s">
        <v>167</v>
      </c>
      <c r="H285" s="20">
        <v>1.93E7</v>
      </c>
      <c r="I285" s="20">
        <v>1.224E7</v>
      </c>
      <c r="J285" s="3" t="s">
        <v>172</v>
      </c>
      <c r="K285" s="5">
        <v>267.0</v>
      </c>
      <c r="L285" s="3" t="s">
        <v>905</v>
      </c>
      <c r="M285" s="5">
        <v>2015.0</v>
      </c>
      <c r="N285" s="29" t="s">
        <v>1890</v>
      </c>
      <c r="S285" s="21"/>
      <c r="T285" s="21"/>
    </row>
    <row r="286">
      <c r="A286" s="3" t="s">
        <v>974</v>
      </c>
      <c r="B286" s="3" t="s">
        <v>59</v>
      </c>
      <c r="C286" s="3" t="s">
        <v>975</v>
      </c>
      <c r="D286" s="3" t="s">
        <v>1677</v>
      </c>
      <c r="E286" s="8" t="s">
        <v>51</v>
      </c>
      <c r="F286" s="7">
        <v>44560.0</v>
      </c>
      <c r="G286" s="3" t="s">
        <v>59</v>
      </c>
      <c r="H286" s="20">
        <v>1500000.0</v>
      </c>
      <c r="I286" s="20">
        <v>1260000.0</v>
      </c>
      <c r="J286" s="3" t="s">
        <v>72</v>
      </c>
      <c r="K286" s="5">
        <v>442.0</v>
      </c>
      <c r="L286" s="3" t="s">
        <v>905</v>
      </c>
      <c r="M286" s="5">
        <v>2018.0</v>
      </c>
      <c r="N286" s="15" t="s">
        <v>1967</v>
      </c>
      <c r="S286" s="21"/>
      <c r="T286" s="21"/>
    </row>
    <row r="287">
      <c r="A287" s="3" t="s">
        <v>1682</v>
      </c>
      <c r="B287" s="3" t="s">
        <v>685</v>
      </c>
      <c r="C287" s="3" t="s">
        <v>1683</v>
      </c>
      <c r="D287" s="3" t="s">
        <v>46</v>
      </c>
      <c r="E287" s="8" t="s">
        <v>51</v>
      </c>
      <c r="F287" s="7">
        <v>45986.0</v>
      </c>
      <c r="G287" s="3" t="s">
        <v>364</v>
      </c>
      <c r="H287" s="20">
        <v>3.96E9</v>
      </c>
      <c r="I287" s="20">
        <v>1.962E8</v>
      </c>
      <c r="J287" s="3" t="s">
        <v>672</v>
      </c>
      <c r="K287" s="3"/>
      <c r="L287" s="3" t="s">
        <v>833</v>
      </c>
      <c r="M287" s="3"/>
      <c r="N287" s="3"/>
      <c r="O287" s="1" t="s">
        <v>65</v>
      </c>
      <c r="S287" s="21"/>
      <c r="T287" s="21"/>
    </row>
    <row r="288">
      <c r="A288" s="3" t="s">
        <v>1095</v>
      </c>
      <c r="B288" s="3" t="s">
        <v>59</v>
      </c>
      <c r="C288" s="3" t="s">
        <v>1097</v>
      </c>
      <c r="D288" s="3" t="s">
        <v>46</v>
      </c>
      <c r="E288" s="8" t="s">
        <v>51</v>
      </c>
      <c r="F288" s="7">
        <v>45769.0</v>
      </c>
      <c r="G288" s="3" t="s">
        <v>59</v>
      </c>
      <c r="H288" s="20">
        <v>1800000.0</v>
      </c>
      <c r="I288" s="20">
        <v>1800000.0</v>
      </c>
      <c r="J288" s="3" t="s">
        <v>672</v>
      </c>
      <c r="K288" s="5">
        <v>26.0</v>
      </c>
      <c r="L288" s="3" t="s">
        <v>496</v>
      </c>
      <c r="M288" s="5">
        <v>2025.0</v>
      </c>
      <c r="N288" s="29" t="s">
        <v>1100</v>
      </c>
      <c r="S288" s="21"/>
      <c r="T288" s="21"/>
    </row>
    <row r="289">
      <c r="A289" s="3" t="s">
        <v>1691</v>
      </c>
      <c r="B289" s="3" t="s">
        <v>76</v>
      </c>
      <c r="C289" s="3" t="s">
        <v>1692</v>
      </c>
      <c r="D289" s="3" t="s">
        <v>46</v>
      </c>
      <c r="E289" s="8" t="s">
        <v>51</v>
      </c>
      <c r="F289" s="7">
        <v>46075.0</v>
      </c>
      <c r="G289" s="3" t="s">
        <v>670</v>
      </c>
      <c r="H289" s="20">
        <v>2.3313393E7</v>
      </c>
      <c r="I289" s="20">
        <v>1.8E7</v>
      </c>
      <c r="J289" s="3" t="s">
        <v>172</v>
      </c>
      <c r="K289" s="5">
        <v>53.0</v>
      </c>
      <c r="L289" s="3" t="s">
        <v>538</v>
      </c>
      <c r="M289" s="5">
        <v>2022.0</v>
      </c>
      <c r="N289" s="29" t="s">
        <v>1913</v>
      </c>
      <c r="S289" s="21"/>
      <c r="T289" s="21"/>
    </row>
    <row r="290">
      <c r="A290" s="3" t="s">
        <v>1697</v>
      </c>
      <c r="B290" s="3" t="s">
        <v>38</v>
      </c>
      <c r="C290" s="3" t="s">
        <v>1698</v>
      </c>
      <c r="D290" s="3" t="s">
        <v>46</v>
      </c>
      <c r="E290" s="8" t="s">
        <v>51</v>
      </c>
      <c r="F290" s="7">
        <v>45434.0</v>
      </c>
      <c r="G290" s="3" t="s">
        <v>68</v>
      </c>
      <c r="H290" s="20">
        <v>9.162E7</v>
      </c>
      <c r="I290" s="20">
        <v>1.8E7</v>
      </c>
      <c r="J290" s="3" t="s">
        <v>172</v>
      </c>
      <c r="K290" s="3"/>
      <c r="L290" s="3" t="s">
        <v>905</v>
      </c>
      <c r="M290" s="3"/>
      <c r="N290" s="3"/>
      <c r="O290" s="1" t="s">
        <v>65</v>
      </c>
      <c r="S290" s="21"/>
      <c r="T290" s="21"/>
    </row>
    <row r="291">
      <c r="A291" s="3" t="s">
        <v>1701</v>
      </c>
      <c r="B291" s="3" t="s">
        <v>76</v>
      </c>
      <c r="C291" s="3" t="s">
        <v>1702</v>
      </c>
      <c r="D291" s="3" t="s">
        <v>46</v>
      </c>
      <c r="E291" s="8" t="s">
        <v>51</v>
      </c>
      <c r="F291" s="7">
        <v>45868.0</v>
      </c>
      <c r="G291" s="3" t="s">
        <v>670</v>
      </c>
      <c r="H291" s="20">
        <v>3.1131109E7</v>
      </c>
      <c r="I291" s="20">
        <v>1.8E7</v>
      </c>
      <c r="J291" s="3" t="s">
        <v>72</v>
      </c>
      <c r="K291" s="5">
        <v>85.0</v>
      </c>
      <c r="L291" s="3" t="s">
        <v>538</v>
      </c>
      <c r="M291" s="5">
        <v>2022.0</v>
      </c>
      <c r="N291" s="29" t="s">
        <v>1916</v>
      </c>
      <c r="S291" s="21"/>
      <c r="T291" s="21"/>
    </row>
    <row r="292">
      <c r="A292" s="3" t="s">
        <v>1705</v>
      </c>
      <c r="B292" s="3" t="s">
        <v>59</v>
      </c>
      <c r="C292" s="3" t="s">
        <v>1706</v>
      </c>
      <c r="D292" s="3" t="s">
        <v>46</v>
      </c>
      <c r="E292" s="8" t="s">
        <v>51</v>
      </c>
      <c r="F292" s="7">
        <v>46009.0</v>
      </c>
      <c r="G292" s="3" t="s">
        <v>59</v>
      </c>
      <c r="H292" s="20">
        <v>1.8E7</v>
      </c>
      <c r="I292" s="20">
        <v>1.8E7</v>
      </c>
      <c r="J292" s="3" t="s">
        <v>172</v>
      </c>
      <c r="K292" s="5">
        <v>89.0</v>
      </c>
      <c r="L292" s="3" t="s">
        <v>538</v>
      </c>
      <c r="M292" s="5">
        <v>2025.0</v>
      </c>
      <c r="N292" s="29" t="s">
        <v>1921</v>
      </c>
      <c r="S292" s="21"/>
      <c r="T292" s="21"/>
    </row>
    <row r="293">
      <c r="A293" s="3" t="s">
        <v>1708</v>
      </c>
      <c r="B293" s="3" t="s">
        <v>38</v>
      </c>
      <c r="C293" s="3" t="s">
        <v>735</v>
      </c>
      <c r="D293" s="3" t="s">
        <v>188</v>
      </c>
      <c r="E293" s="8" t="s">
        <v>51</v>
      </c>
      <c r="F293" s="7">
        <v>45547.0</v>
      </c>
      <c r="G293" s="3" t="s">
        <v>68</v>
      </c>
      <c r="H293" s="20">
        <v>4.4548923E7</v>
      </c>
      <c r="I293" s="20">
        <v>1.8E7</v>
      </c>
      <c r="J293" s="3" t="s">
        <v>172</v>
      </c>
      <c r="K293" s="5">
        <v>1105.0</v>
      </c>
      <c r="L293" s="3" t="s">
        <v>1144</v>
      </c>
      <c r="M293" s="5">
        <v>2016.0</v>
      </c>
      <c r="N293" s="29" t="s">
        <v>1923</v>
      </c>
      <c r="S293" s="21"/>
      <c r="T293" s="21"/>
    </row>
    <row r="294">
      <c r="A294" s="3" t="s">
        <v>1710</v>
      </c>
      <c r="B294" s="3" t="s">
        <v>289</v>
      </c>
      <c r="C294" s="3" t="s">
        <v>1712</v>
      </c>
      <c r="D294" s="3" t="s">
        <v>46</v>
      </c>
      <c r="E294" s="8" t="s">
        <v>51</v>
      </c>
      <c r="F294" s="7">
        <v>45953.0</v>
      </c>
      <c r="G294" s="3" t="s">
        <v>670</v>
      </c>
      <c r="H294" s="20">
        <v>2.898E7</v>
      </c>
      <c r="I294" s="20">
        <v>1.836E7</v>
      </c>
      <c r="J294" s="3" t="s">
        <v>672</v>
      </c>
      <c r="K294" s="5">
        <v>102.0</v>
      </c>
      <c r="L294" s="3" t="s">
        <v>514</v>
      </c>
      <c r="M294" s="5">
        <v>2021.0</v>
      </c>
      <c r="N294" s="29" t="s">
        <v>1926</v>
      </c>
      <c r="S294" s="21"/>
      <c r="T294" s="21"/>
    </row>
    <row r="295">
      <c r="A295" s="3" t="s">
        <v>1716</v>
      </c>
      <c r="B295" s="3" t="s">
        <v>76</v>
      </c>
      <c r="C295" s="3" t="s">
        <v>1227</v>
      </c>
      <c r="D295" s="3" t="s">
        <v>46</v>
      </c>
      <c r="E295" s="8" t="s">
        <v>51</v>
      </c>
      <c r="F295" s="7">
        <v>45917.0</v>
      </c>
      <c r="G295" s="3" t="s">
        <v>670</v>
      </c>
      <c r="H295" s="20">
        <v>2.4457449E7</v>
      </c>
      <c r="I295" s="20">
        <v>1.908E7</v>
      </c>
      <c r="J295" s="3" t="s">
        <v>672</v>
      </c>
      <c r="K295" s="5">
        <v>110.0</v>
      </c>
      <c r="L295" s="3" t="s">
        <v>514</v>
      </c>
      <c r="M295" s="5">
        <v>2022.0</v>
      </c>
      <c r="N295" s="29" t="s">
        <v>1927</v>
      </c>
      <c r="S295" s="21"/>
      <c r="T295" s="21"/>
    </row>
    <row r="296">
      <c r="A296" s="3" t="s">
        <v>1720</v>
      </c>
      <c r="B296" s="3" t="s">
        <v>76</v>
      </c>
      <c r="C296" s="3" t="s">
        <v>1721</v>
      </c>
      <c r="D296" s="3" t="s">
        <v>46</v>
      </c>
      <c r="E296" s="8" t="s">
        <v>51</v>
      </c>
      <c r="F296" s="7">
        <v>45629.0</v>
      </c>
      <c r="G296" s="3" t="s">
        <v>670</v>
      </c>
      <c r="H296" s="20">
        <v>2.934E7</v>
      </c>
      <c r="I296" s="20">
        <v>1.98E7</v>
      </c>
      <c r="J296" s="3" t="s">
        <v>172</v>
      </c>
      <c r="K296" s="5">
        <v>153.0</v>
      </c>
      <c r="L296" s="3" t="s">
        <v>514</v>
      </c>
      <c r="M296" s="5">
        <v>2020.0</v>
      </c>
      <c r="N296" s="15" t="s">
        <v>1974</v>
      </c>
      <c r="S296" s="21"/>
      <c r="T296" s="21"/>
    </row>
    <row r="297">
      <c r="A297" s="3" t="s">
        <v>1724</v>
      </c>
      <c r="B297" s="3" t="s">
        <v>76</v>
      </c>
      <c r="C297" s="3" t="s">
        <v>1725</v>
      </c>
      <c r="D297" s="3" t="s">
        <v>46</v>
      </c>
      <c r="E297" s="8" t="s">
        <v>51</v>
      </c>
      <c r="F297" s="7">
        <v>45952.0</v>
      </c>
      <c r="G297" s="3" t="s">
        <v>670</v>
      </c>
      <c r="H297" s="20">
        <v>2.25E7</v>
      </c>
      <c r="I297" s="20">
        <v>2.25E7</v>
      </c>
      <c r="J297" s="3" t="s">
        <v>672</v>
      </c>
      <c r="K297" s="5">
        <v>78.0</v>
      </c>
      <c r="L297" s="3" t="s">
        <v>538</v>
      </c>
      <c r="M297" s="5">
        <v>2020.0</v>
      </c>
      <c r="N297" s="30" t="s">
        <v>1976</v>
      </c>
      <c r="S297" s="21"/>
      <c r="T297" s="21"/>
    </row>
    <row r="298">
      <c r="A298" s="3" t="s">
        <v>1728</v>
      </c>
      <c r="B298" s="3" t="s">
        <v>289</v>
      </c>
      <c r="C298" s="3" t="s">
        <v>1729</v>
      </c>
      <c r="D298" s="3" t="s">
        <v>46</v>
      </c>
      <c r="E298" s="8" t="s">
        <v>51</v>
      </c>
      <c r="F298" s="7">
        <v>45490.0</v>
      </c>
      <c r="G298" s="3" t="s">
        <v>670</v>
      </c>
      <c r="H298" s="20">
        <v>2.268E7</v>
      </c>
      <c r="I298" s="20">
        <v>2.268E7</v>
      </c>
      <c r="J298" s="3" t="s">
        <v>172</v>
      </c>
      <c r="K298" s="5">
        <v>261.0</v>
      </c>
      <c r="L298" s="3" t="s">
        <v>905</v>
      </c>
      <c r="M298" s="5">
        <v>2014.0</v>
      </c>
      <c r="N298" s="29" t="s">
        <v>1940</v>
      </c>
      <c r="S298" s="21"/>
      <c r="T298" s="21"/>
    </row>
    <row r="299">
      <c r="A299" s="3" t="s">
        <v>1236</v>
      </c>
      <c r="B299" s="3" t="s">
        <v>59</v>
      </c>
      <c r="C299" s="3" t="s">
        <v>1237</v>
      </c>
      <c r="D299" s="3" t="s">
        <v>261</v>
      </c>
      <c r="E299" s="8" t="s">
        <v>51</v>
      </c>
      <c r="F299" s="7">
        <v>44456.0</v>
      </c>
      <c r="G299" s="3" t="s">
        <v>59</v>
      </c>
      <c r="H299" s="20">
        <v>2772000.0</v>
      </c>
      <c r="I299" s="20">
        <v>2340000.0</v>
      </c>
      <c r="J299" s="3" t="s">
        <v>72</v>
      </c>
      <c r="K299" s="5">
        <v>151.0</v>
      </c>
      <c r="L299" s="3" t="s">
        <v>514</v>
      </c>
      <c r="M299" s="5">
        <v>2016.0</v>
      </c>
      <c r="N299" s="29" t="s">
        <v>1240</v>
      </c>
      <c r="S299" s="21"/>
      <c r="T299" s="21"/>
    </row>
    <row r="300">
      <c r="A300" s="3" t="s">
        <v>1251</v>
      </c>
      <c r="B300" s="3" t="s">
        <v>59</v>
      </c>
      <c r="C300" s="3" t="s">
        <v>1253</v>
      </c>
      <c r="D300" s="3" t="s">
        <v>171</v>
      </c>
      <c r="E300" s="8" t="s">
        <v>52</v>
      </c>
      <c r="F300" s="7">
        <v>45604.0</v>
      </c>
      <c r="G300" s="3" t="s">
        <v>59</v>
      </c>
      <c r="H300" s="20">
        <v>2787278.0</v>
      </c>
      <c r="I300" s="20">
        <v>2340000.0</v>
      </c>
      <c r="J300" s="3" t="s">
        <v>172</v>
      </c>
      <c r="K300" s="5">
        <v>23.0</v>
      </c>
      <c r="L300" s="3" t="s">
        <v>496</v>
      </c>
      <c r="M300" s="5">
        <v>2020.0</v>
      </c>
      <c r="N300" s="30" t="s">
        <v>1979</v>
      </c>
      <c r="S300" s="21"/>
      <c r="T300" s="21"/>
    </row>
    <row r="301">
      <c r="A301" s="3" t="s">
        <v>1735</v>
      </c>
      <c r="B301" s="3" t="s">
        <v>76</v>
      </c>
      <c r="C301" s="3" t="s">
        <v>137</v>
      </c>
      <c r="D301" s="3" t="s">
        <v>46</v>
      </c>
      <c r="E301" s="8" t="s">
        <v>51</v>
      </c>
      <c r="F301" s="7">
        <v>44328.0</v>
      </c>
      <c r="G301" s="3" t="s">
        <v>670</v>
      </c>
      <c r="H301" s="20">
        <v>2.43E7</v>
      </c>
      <c r="I301" s="20">
        <v>2.43E7</v>
      </c>
      <c r="J301" s="3" t="s">
        <v>72</v>
      </c>
      <c r="K301" s="5">
        <v>85.0</v>
      </c>
      <c r="L301" s="3" t="s">
        <v>538</v>
      </c>
      <c r="M301" s="5">
        <v>2018.0</v>
      </c>
      <c r="N301" s="29" t="s">
        <v>1943</v>
      </c>
      <c r="S301" s="21"/>
      <c r="T301" s="21"/>
    </row>
    <row r="302">
      <c r="A302" s="3" t="s">
        <v>1277</v>
      </c>
      <c r="B302" s="3" t="s">
        <v>38</v>
      </c>
      <c r="C302" s="3" t="s">
        <v>1278</v>
      </c>
      <c r="D302" s="3" t="s">
        <v>1072</v>
      </c>
      <c r="E302" s="8" t="s">
        <v>51</v>
      </c>
      <c r="F302" s="7">
        <v>45576.0</v>
      </c>
      <c r="G302" s="3" t="s">
        <v>68</v>
      </c>
      <c r="H302" s="20">
        <v>1.0044E8</v>
      </c>
      <c r="I302" s="20">
        <v>2520000.0</v>
      </c>
      <c r="J302" s="3" t="s">
        <v>172</v>
      </c>
      <c r="K302" s="5">
        <v>1109.0</v>
      </c>
      <c r="L302" s="3" t="s">
        <v>1144</v>
      </c>
      <c r="M302" s="5">
        <v>2010.0</v>
      </c>
      <c r="N302" s="29" t="s">
        <v>1280</v>
      </c>
      <c r="S302" s="21"/>
      <c r="T302" s="21"/>
    </row>
    <row r="303">
      <c r="A303" s="3" t="s">
        <v>1741</v>
      </c>
      <c r="B303" s="3" t="s">
        <v>752</v>
      </c>
      <c r="C303" s="3" t="s">
        <v>1742</v>
      </c>
      <c r="D303" s="3" t="s">
        <v>46</v>
      </c>
      <c r="E303" s="8" t="s">
        <v>51</v>
      </c>
      <c r="F303" s="7">
        <v>44329.0</v>
      </c>
      <c r="G303" s="3" t="s">
        <v>736</v>
      </c>
      <c r="H303" s="20">
        <v>5.0138661E7</v>
      </c>
      <c r="I303" s="20">
        <v>2.6316E7</v>
      </c>
      <c r="J303" s="3" t="s">
        <v>72</v>
      </c>
      <c r="K303" s="5">
        <v>746.0</v>
      </c>
      <c r="L303" s="3" t="s">
        <v>783</v>
      </c>
      <c r="M303" s="5">
        <v>2013.0</v>
      </c>
      <c r="N303" s="29" t="s">
        <v>1946</v>
      </c>
      <c r="S303" s="21"/>
      <c r="T303" s="21"/>
    </row>
    <row r="304">
      <c r="A304" s="3" t="s">
        <v>1746</v>
      </c>
      <c r="B304" s="3" t="s">
        <v>76</v>
      </c>
      <c r="C304" s="3" t="s">
        <v>1747</v>
      </c>
      <c r="D304" s="3" t="s">
        <v>46</v>
      </c>
      <c r="E304" s="8" t="s">
        <v>51</v>
      </c>
      <c r="F304" s="7">
        <v>45939.0</v>
      </c>
      <c r="G304" s="3" t="s">
        <v>670</v>
      </c>
      <c r="H304" s="20">
        <v>5.409E7</v>
      </c>
      <c r="I304" s="20">
        <v>2.88E7</v>
      </c>
      <c r="J304" s="3" t="s">
        <v>672</v>
      </c>
      <c r="K304" s="5">
        <v>170.0</v>
      </c>
      <c r="L304" s="3" t="s">
        <v>514</v>
      </c>
      <c r="M304" s="5">
        <v>2021.0</v>
      </c>
      <c r="N304" s="29" t="s">
        <v>1951</v>
      </c>
      <c r="S304" s="21"/>
      <c r="T304" s="21"/>
    </row>
    <row r="305">
      <c r="A305" s="3" t="s">
        <v>1751</v>
      </c>
      <c r="B305" s="3" t="s">
        <v>289</v>
      </c>
      <c r="C305" s="3" t="s">
        <v>1752</v>
      </c>
      <c r="D305" s="3" t="s">
        <v>261</v>
      </c>
      <c r="E305" s="8" t="s">
        <v>51</v>
      </c>
      <c r="F305" s="7">
        <v>45252.0</v>
      </c>
      <c r="G305" s="3" t="s">
        <v>670</v>
      </c>
      <c r="H305" s="20">
        <v>4.4510098E7</v>
      </c>
      <c r="I305" s="20">
        <v>2.97E7</v>
      </c>
      <c r="J305" s="3" t="s">
        <v>172</v>
      </c>
      <c r="K305" s="5">
        <v>384.0</v>
      </c>
      <c r="L305" s="3" t="s">
        <v>905</v>
      </c>
      <c r="M305" s="5">
        <v>2016.0</v>
      </c>
      <c r="N305" s="29" t="s">
        <v>1952</v>
      </c>
      <c r="S305" s="21"/>
      <c r="T305" s="21"/>
    </row>
    <row r="306">
      <c r="A306" s="3" t="s">
        <v>1363</v>
      </c>
      <c r="B306" s="3" t="s">
        <v>59</v>
      </c>
      <c r="C306" s="3" t="s">
        <v>1364</v>
      </c>
      <c r="D306" s="3" t="s">
        <v>46</v>
      </c>
      <c r="E306" s="8" t="s">
        <v>51</v>
      </c>
      <c r="F306" s="7">
        <v>45631.0</v>
      </c>
      <c r="G306" s="3" t="s">
        <v>59</v>
      </c>
      <c r="H306" s="20">
        <v>2.2053722E7</v>
      </c>
      <c r="I306" s="20">
        <v>3060000.0</v>
      </c>
      <c r="J306" s="3" t="s">
        <v>672</v>
      </c>
      <c r="K306" s="5">
        <v>57.0</v>
      </c>
      <c r="L306" s="3" t="s">
        <v>538</v>
      </c>
      <c r="M306" s="5">
        <v>2020.0</v>
      </c>
      <c r="N306" s="29" t="s">
        <v>1365</v>
      </c>
      <c r="S306" s="21"/>
      <c r="T306" s="21"/>
    </row>
    <row r="307">
      <c r="A307" s="3" t="s">
        <v>661</v>
      </c>
      <c r="B307" s="3" t="s">
        <v>38</v>
      </c>
      <c r="C307" s="3" t="s">
        <v>663</v>
      </c>
      <c r="D307" s="3" t="s">
        <v>351</v>
      </c>
      <c r="E307" s="8" t="s">
        <v>51</v>
      </c>
      <c r="F307" s="7">
        <v>46077.0</v>
      </c>
      <c r="G307" s="3" t="s">
        <v>68</v>
      </c>
      <c r="H307" s="20">
        <v>1021880.0</v>
      </c>
      <c r="I307" s="20">
        <v>486000.0</v>
      </c>
      <c r="J307" s="3" t="s">
        <v>172</v>
      </c>
      <c r="K307" s="5">
        <v>56.0</v>
      </c>
      <c r="L307" s="3" t="s">
        <v>538</v>
      </c>
      <c r="M307" s="5">
        <v>2016.0</v>
      </c>
      <c r="N307" s="29" t="s">
        <v>667</v>
      </c>
      <c r="S307" s="21"/>
      <c r="T307" s="21"/>
    </row>
    <row r="308">
      <c r="A308" s="3" t="s">
        <v>1427</v>
      </c>
      <c r="B308" s="3" t="s">
        <v>76</v>
      </c>
      <c r="C308" s="3" t="s">
        <v>1429</v>
      </c>
      <c r="D308" s="3" t="s">
        <v>1760</v>
      </c>
      <c r="E308" s="8" t="s">
        <v>51</v>
      </c>
      <c r="F308" s="7">
        <v>45931.0</v>
      </c>
      <c r="G308" s="3" t="s">
        <v>670</v>
      </c>
      <c r="H308" s="20">
        <v>7598489.0</v>
      </c>
      <c r="I308" s="20">
        <v>3600000.0</v>
      </c>
      <c r="J308" s="3" t="s">
        <v>172</v>
      </c>
      <c r="K308" s="5">
        <v>51.0</v>
      </c>
      <c r="L308" s="3" t="s">
        <v>538</v>
      </c>
      <c r="M308" s="5">
        <v>2018.0</v>
      </c>
      <c r="N308" s="29" t="s">
        <v>1431</v>
      </c>
      <c r="S308" s="21"/>
      <c r="T308" s="21"/>
    </row>
    <row r="309">
      <c r="A309" s="3" t="s">
        <v>1763</v>
      </c>
      <c r="B309" s="3" t="s">
        <v>752</v>
      </c>
      <c r="C309" s="3" t="s">
        <v>1765</v>
      </c>
      <c r="D309" s="3" t="s">
        <v>46</v>
      </c>
      <c r="E309" s="8" t="s">
        <v>51</v>
      </c>
      <c r="F309" s="7">
        <v>45916.0</v>
      </c>
      <c r="G309" s="3" t="s">
        <v>736</v>
      </c>
      <c r="H309" s="20">
        <v>6.93E7</v>
      </c>
      <c r="I309" s="20">
        <v>3.6E7</v>
      </c>
      <c r="J309" s="3" t="s">
        <v>172</v>
      </c>
      <c r="K309" s="5">
        <v>107.0</v>
      </c>
      <c r="L309" s="3" t="s">
        <v>514</v>
      </c>
      <c r="M309" s="5">
        <v>2023.0</v>
      </c>
      <c r="N309" s="29" t="s">
        <v>1959</v>
      </c>
      <c r="S309" s="21"/>
      <c r="T309" s="21"/>
    </row>
    <row r="310">
      <c r="A310" s="3" t="s">
        <v>1770</v>
      </c>
      <c r="B310" s="3" t="s">
        <v>59</v>
      </c>
      <c r="C310" s="3" t="s">
        <v>1771</v>
      </c>
      <c r="D310" s="3" t="s">
        <v>46</v>
      </c>
      <c r="E310" s="8" t="s">
        <v>51</v>
      </c>
      <c r="F310" s="7">
        <v>44835.0</v>
      </c>
      <c r="G310" s="3" t="s">
        <v>59</v>
      </c>
      <c r="H310" s="20">
        <v>4140000.0</v>
      </c>
      <c r="I310" s="20">
        <v>3870000.0</v>
      </c>
      <c r="J310" s="3" t="s">
        <v>72</v>
      </c>
      <c r="K310" s="3"/>
      <c r="L310" s="3" t="s">
        <v>538</v>
      </c>
      <c r="M310" s="3"/>
      <c r="N310" s="3"/>
      <c r="O310" s="1" t="s">
        <v>65</v>
      </c>
      <c r="S310" s="21"/>
      <c r="T310" s="21"/>
    </row>
    <row r="311">
      <c r="A311" s="3" t="s">
        <v>1777</v>
      </c>
      <c r="B311" s="3" t="s">
        <v>59</v>
      </c>
      <c r="C311" s="3" t="s">
        <v>1778</v>
      </c>
      <c r="D311" s="3" t="s">
        <v>188</v>
      </c>
      <c r="E311" s="8" t="s">
        <v>51</v>
      </c>
      <c r="F311" s="7">
        <v>46083.0</v>
      </c>
      <c r="G311" s="3" t="s">
        <v>59</v>
      </c>
      <c r="H311" s="20">
        <v>6872914.0</v>
      </c>
      <c r="I311" s="20">
        <v>4500000.0</v>
      </c>
      <c r="J311" s="3" t="s">
        <v>172</v>
      </c>
      <c r="K311" s="3"/>
      <c r="L311" s="3" t="s">
        <v>496</v>
      </c>
      <c r="M311" s="3"/>
      <c r="N311" s="3"/>
      <c r="O311" s="1" t="s">
        <v>65</v>
      </c>
      <c r="S311" s="21"/>
      <c r="T311" s="21"/>
    </row>
    <row r="312">
      <c r="A312" s="3" t="s">
        <v>1482</v>
      </c>
      <c r="B312" s="3" t="s">
        <v>38</v>
      </c>
      <c r="C312" s="3" t="s">
        <v>1484</v>
      </c>
      <c r="D312" s="3" t="s">
        <v>46</v>
      </c>
      <c r="E312" s="8" t="s">
        <v>51</v>
      </c>
      <c r="F312" s="7">
        <v>45315.0</v>
      </c>
      <c r="G312" s="3" t="s">
        <v>68</v>
      </c>
      <c r="H312" s="20">
        <v>1.05066883E8</v>
      </c>
      <c r="I312" s="20">
        <v>4500000.0</v>
      </c>
      <c r="J312" s="3" t="s">
        <v>172</v>
      </c>
      <c r="K312" s="5">
        <v>1102.0</v>
      </c>
      <c r="L312" s="3" t="s">
        <v>1144</v>
      </c>
      <c r="M312" s="5">
        <v>2021.0</v>
      </c>
      <c r="N312" s="29" t="s">
        <v>1486</v>
      </c>
      <c r="S312" s="21"/>
      <c r="T312" s="21"/>
    </row>
    <row r="313">
      <c r="A313" s="3" t="s">
        <v>1788</v>
      </c>
      <c r="B313" s="3" t="s">
        <v>59</v>
      </c>
      <c r="C313" s="3" t="s">
        <v>1789</v>
      </c>
      <c r="D313" s="3" t="s">
        <v>1790</v>
      </c>
      <c r="E313" s="8" t="s">
        <v>51</v>
      </c>
      <c r="F313" s="7">
        <v>44631.0</v>
      </c>
      <c r="G313" s="3" t="s">
        <v>59</v>
      </c>
      <c r="H313" s="20">
        <v>4680000.0</v>
      </c>
      <c r="I313" s="20">
        <v>4680000.0</v>
      </c>
      <c r="J313" s="3" t="s">
        <v>68</v>
      </c>
      <c r="K313" s="3"/>
      <c r="L313" s="3" t="s">
        <v>496</v>
      </c>
      <c r="M313" s="3"/>
      <c r="N313" s="3"/>
      <c r="O313" s="1" t="s">
        <v>65</v>
      </c>
      <c r="S313" s="21"/>
      <c r="T313" s="21"/>
    </row>
    <row r="314">
      <c r="A314" s="3" t="s">
        <v>1523</v>
      </c>
      <c r="B314" s="3" t="s">
        <v>59</v>
      </c>
      <c r="C314" s="3" t="s">
        <v>1524</v>
      </c>
      <c r="D314" s="3" t="s">
        <v>46</v>
      </c>
      <c r="E314" s="8" t="s">
        <v>51</v>
      </c>
      <c r="F314" s="7">
        <v>44308.0</v>
      </c>
      <c r="G314" s="3" t="s">
        <v>59</v>
      </c>
      <c r="H314" s="20">
        <v>5040000.0</v>
      </c>
      <c r="I314" s="20">
        <v>5040000.0</v>
      </c>
      <c r="J314" s="3" t="s">
        <v>72</v>
      </c>
      <c r="K314" s="5">
        <v>98.0</v>
      </c>
      <c r="L314" s="3" t="s">
        <v>538</v>
      </c>
      <c r="M314" s="5">
        <v>2020.0</v>
      </c>
      <c r="N314" s="29" t="s">
        <v>1526</v>
      </c>
      <c r="S314" s="21"/>
      <c r="T314" s="21"/>
    </row>
    <row r="315">
      <c r="A315" s="3" t="s">
        <v>719</v>
      </c>
      <c r="B315" s="3" t="s">
        <v>59</v>
      </c>
      <c r="C315" s="3" t="s">
        <v>720</v>
      </c>
      <c r="D315" s="3" t="s">
        <v>46</v>
      </c>
      <c r="E315" s="8" t="s">
        <v>51</v>
      </c>
      <c r="F315" s="7">
        <v>45623.0</v>
      </c>
      <c r="G315" s="3" t="s">
        <v>59</v>
      </c>
      <c r="H315" s="20">
        <v>576000.0</v>
      </c>
      <c r="I315" s="20">
        <v>576000.0</v>
      </c>
      <c r="J315" s="3" t="s">
        <v>172</v>
      </c>
      <c r="K315" s="5">
        <v>22.0</v>
      </c>
      <c r="L315" s="3" t="s">
        <v>496</v>
      </c>
      <c r="M315" s="5">
        <v>2022.0</v>
      </c>
      <c r="N315" s="29" t="s">
        <v>722</v>
      </c>
      <c r="S315" s="21"/>
      <c r="T315" s="21"/>
    </row>
    <row r="316">
      <c r="A316" s="3" t="s">
        <v>730</v>
      </c>
      <c r="B316" s="3" t="s">
        <v>38</v>
      </c>
      <c r="C316" s="3" t="s">
        <v>731</v>
      </c>
      <c r="D316" s="3" t="s">
        <v>261</v>
      </c>
      <c r="E316" s="8" t="s">
        <v>51</v>
      </c>
      <c r="F316" s="7">
        <v>45708.0</v>
      </c>
      <c r="G316" s="3" t="s">
        <v>68</v>
      </c>
      <c r="H316" s="20">
        <v>576000.0</v>
      </c>
      <c r="I316" s="20">
        <v>576000.0</v>
      </c>
      <c r="J316" s="3" t="s">
        <v>172</v>
      </c>
      <c r="K316" s="5">
        <v>97.0</v>
      </c>
      <c r="L316" s="3" t="s">
        <v>538</v>
      </c>
      <c r="M316" s="5">
        <v>2017.0</v>
      </c>
      <c r="N316" s="30" t="s">
        <v>1992</v>
      </c>
      <c r="S316" s="21"/>
      <c r="T316" s="21"/>
    </row>
    <row r="317">
      <c r="A317" s="3" t="s">
        <v>1576</v>
      </c>
      <c r="B317" s="3" t="s">
        <v>59</v>
      </c>
      <c r="C317" s="3" t="s">
        <v>1577</v>
      </c>
      <c r="D317" s="3" t="s">
        <v>46</v>
      </c>
      <c r="E317" s="8" t="s">
        <v>51</v>
      </c>
      <c r="F317" s="7">
        <v>46049.0</v>
      </c>
      <c r="G317" s="3" t="s">
        <v>59</v>
      </c>
      <c r="H317" s="20">
        <v>8640000.0</v>
      </c>
      <c r="I317" s="20">
        <v>5400000.0</v>
      </c>
      <c r="J317" s="3" t="s">
        <v>172</v>
      </c>
      <c r="K317" s="5">
        <v>48.0</v>
      </c>
      <c r="L317" s="3" t="s">
        <v>496</v>
      </c>
      <c r="M317" s="5">
        <v>2024.0</v>
      </c>
      <c r="N317" s="29" t="s">
        <v>1581</v>
      </c>
      <c r="S317" s="21"/>
      <c r="T317" s="21"/>
    </row>
    <row r="318">
      <c r="A318" s="3" t="s">
        <v>1797</v>
      </c>
      <c r="B318" s="3" t="s">
        <v>76</v>
      </c>
      <c r="C318" s="3" t="s">
        <v>1798</v>
      </c>
      <c r="D318" s="3" t="s">
        <v>46</v>
      </c>
      <c r="E318" s="8" t="s">
        <v>51</v>
      </c>
      <c r="F318" s="7">
        <v>44699.0</v>
      </c>
      <c r="G318" s="3" t="s">
        <v>670</v>
      </c>
      <c r="H318" s="20">
        <v>5400000.0</v>
      </c>
      <c r="I318" s="20">
        <v>5400000.0</v>
      </c>
      <c r="J318" s="3" t="s">
        <v>72</v>
      </c>
      <c r="K318" s="3"/>
      <c r="L318" s="3" t="s">
        <v>538</v>
      </c>
      <c r="M318" s="3"/>
      <c r="N318" s="3"/>
      <c r="O318" s="1" t="s">
        <v>65</v>
      </c>
      <c r="S318" s="21"/>
      <c r="T318" s="21"/>
    </row>
    <row r="319">
      <c r="A319" s="3" t="s">
        <v>1587</v>
      </c>
      <c r="B319" s="3" t="s">
        <v>38</v>
      </c>
      <c r="C319" s="3" t="s">
        <v>1588</v>
      </c>
      <c r="D319" s="3" t="s">
        <v>46</v>
      </c>
      <c r="E319" s="8" t="s">
        <v>51</v>
      </c>
      <c r="F319" s="7">
        <v>45714.0</v>
      </c>
      <c r="G319" s="3" t="s">
        <v>68</v>
      </c>
      <c r="H319" s="20">
        <v>1.314E8</v>
      </c>
      <c r="I319" s="20">
        <v>5400000.0</v>
      </c>
      <c r="J319" s="3" t="s">
        <v>172</v>
      </c>
      <c r="K319" s="5">
        <v>312.0</v>
      </c>
      <c r="L319" s="3" t="s">
        <v>905</v>
      </c>
      <c r="M319" s="5">
        <v>2017.0</v>
      </c>
      <c r="N319" s="29" t="s">
        <v>1592</v>
      </c>
      <c r="S319" s="21"/>
      <c r="T319" s="21"/>
    </row>
    <row r="320">
      <c r="A320" s="3" t="s">
        <v>1801</v>
      </c>
      <c r="B320" s="3" t="s">
        <v>289</v>
      </c>
      <c r="C320" s="3" t="s">
        <v>1802</v>
      </c>
      <c r="D320" s="3" t="s">
        <v>46</v>
      </c>
      <c r="E320" s="8" t="s">
        <v>51</v>
      </c>
      <c r="F320" s="7">
        <v>45160.0</v>
      </c>
      <c r="G320" s="3" t="s">
        <v>670</v>
      </c>
      <c r="H320" s="20">
        <v>1.062E8</v>
      </c>
      <c r="I320" s="20">
        <v>5.4E7</v>
      </c>
      <c r="J320" s="3" t="s">
        <v>172</v>
      </c>
      <c r="K320" s="5">
        <v>1069.0</v>
      </c>
      <c r="L320" s="3" t="s">
        <v>1144</v>
      </c>
      <c r="M320" s="5">
        <v>2019.0</v>
      </c>
      <c r="N320" s="29" t="s">
        <v>1964</v>
      </c>
      <c r="S320" s="21"/>
      <c r="T320" s="21"/>
    </row>
    <row r="321">
      <c r="A321" s="3" t="s">
        <v>1806</v>
      </c>
      <c r="B321" s="3" t="s">
        <v>391</v>
      </c>
      <c r="C321" s="3" t="s">
        <v>1807</v>
      </c>
      <c r="D321" s="3" t="s">
        <v>1808</v>
      </c>
      <c r="E321" s="8" t="s">
        <v>51</v>
      </c>
      <c r="F321" s="7">
        <v>45730.0</v>
      </c>
      <c r="G321" s="3" t="s">
        <v>736</v>
      </c>
      <c r="H321" s="20">
        <v>1.98811142E8</v>
      </c>
      <c r="I321" s="20">
        <v>5.4E7</v>
      </c>
      <c r="J321" s="3" t="s">
        <v>72</v>
      </c>
      <c r="K321" s="5">
        <v>878.0</v>
      </c>
      <c r="L321" s="3" t="s">
        <v>783</v>
      </c>
      <c r="M321" s="5">
        <v>2007.0</v>
      </c>
      <c r="N321" s="15" t="s">
        <v>1966</v>
      </c>
      <c r="S321" s="21"/>
      <c r="T321" s="21"/>
    </row>
    <row r="322">
      <c r="A322" s="3" t="s">
        <v>1810</v>
      </c>
      <c r="B322" s="3" t="s">
        <v>289</v>
      </c>
      <c r="C322" s="3" t="s">
        <v>1811</v>
      </c>
      <c r="D322" s="3" t="s">
        <v>46</v>
      </c>
      <c r="E322" s="8" t="s">
        <v>51</v>
      </c>
      <c r="F322" s="7">
        <v>45079.0</v>
      </c>
      <c r="G322" s="3" t="s">
        <v>670</v>
      </c>
      <c r="H322" s="20">
        <v>9.9278764E7</v>
      </c>
      <c r="I322" s="20">
        <v>5.4E7</v>
      </c>
      <c r="J322" s="3" t="s">
        <v>172</v>
      </c>
      <c r="K322" s="5">
        <v>180.0</v>
      </c>
      <c r="L322" s="3" t="s">
        <v>514</v>
      </c>
      <c r="M322" s="5">
        <v>2017.0</v>
      </c>
      <c r="N322" s="15" t="s">
        <v>1996</v>
      </c>
      <c r="S322" s="21"/>
      <c r="T322" s="21"/>
    </row>
    <row r="323">
      <c r="A323" s="3" t="s">
        <v>1615</v>
      </c>
      <c r="B323" s="3" t="s">
        <v>76</v>
      </c>
      <c r="C323" s="3" t="s">
        <v>1616</v>
      </c>
      <c r="D323" s="3" t="s">
        <v>46</v>
      </c>
      <c r="E323" s="8" t="s">
        <v>51</v>
      </c>
      <c r="F323" s="7">
        <v>45999.0</v>
      </c>
      <c r="G323" s="3" t="s">
        <v>670</v>
      </c>
      <c r="H323" s="20">
        <v>2.511E7</v>
      </c>
      <c r="I323" s="20">
        <v>5760000.0</v>
      </c>
      <c r="J323" s="3" t="s">
        <v>172</v>
      </c>
      <c r="K323" s="5">
        <v>143.0</v>
      </c>
      <c r="L323" s="3" t="s">
        <v>514</v>
      </c>
      <c r="M323" s="5">
        <v>2021.0</v>
      </c>
      <c r="N323" s="29" t="s">
        <v>1619</v>
      </c>
      <c r="S323" s="21"/>
      <c r="T323" s="21"/>
    </row>
    <row r="324">
      <c r="A324" s="3" t="s">
        <v>1626</v>
      </c>
      <c r="B324" s="3" t="s">
        <v>76</v>
      </c>
      <c r="C324" s="3" t="s">
        <v>1627</v>
      </c>
      <c r="D324" s="3" t="s">
        <v>188</v>
      </c>
      <c r="E324" s="8" t="s">
        <v>51</v>
      </c>
      <c r="F324" s="7">
        <v>45713.0</v>
      </c>
      <c r="G324" s="3" t="s">
        <v>670</v>
      </c>
      <c r="H324" s="20">
        <v>8399913.0</v>
      </c>
      <c r="I324" s="20">
        <v>5760000.0</v>
      </c>
      <c r="J324" s="3" t="s">
        <v>172</v>
      </c>
      <c r="K324" s="5">
        <v>70.0</v>
      </c>
      <c r="L324" s="3" t="s">
        <v>538</v>
      </c>
      <c r="M324" s="5">
        <v>2020.0</v>
      </c>
      <c r="N324" s="29" t="s">
        <v>1628</v>
      </c>
      <c r="S324" s="21"/>
      <c r="T324" s="21"/>
    </row>
    <row r="325">
      <c r="A325" s="3" t="s">
        <v>1668</v>
      </c>
      <c r="B325" s="3" t="s">
        <v>76</v>
      </c>
      <c r="C325" s="3" t="s">
        <v>1669</v>
      </c>
      <c r="D325" s="3" t="s">
        <v>46</v>
      </c>
      <c r="E325" s="8" t="s">
        <v>51</v>
      </c>
      <c r="F325" s="7">
        <v>46001.0</v>
      </c>
      <c r="G325" s="3" t="s">
        <v>670</v>
      </c>
      <c r="H325" s="20">
        <v>1.008E7</v>
      </c>
      <c r="I325" s="20">
        <v>6120000.0</v>
      </c>
      <c r="J325" s="3" t="s">
        <v>172</v>
      </c>
      <c r="K325" s="5">
        <v>122.0</v>
      </c>
      <c r="L325" s="3" t="s">
        <v>514</v>
      </c>
      <c r="M325" s="5">
        <v>2022.0</v>
      </c>
      <c r="N325" s="29" t="s">
        <v>1671</v>
      </c>
      <c r="S325" s="21"/>
      <c r="T325" s="21"/>
    </row>
    <row r="326">
      <c r="A326" s="3" t="s">
        <v>1686</v>
      </c>
      <c r="B326" s="3" t="s">
        <v>38</v>
      </c>
      <c r="C326" s="3" t="s">
        <v>1687</v>
      </c>
      <c r="D326" s="3" t="s">
        <v>376</v>
      </c>
      <c r="E326" s="8" t="s">
        <v>51</v>
      </c>
      <c r="F326" s="7">
        <v>45910.0</v>
      </c>
      <c r="G326" s="3" t="s">
        <v>68</v>
      </c>
      <c r="H326" s="20">
        <v>1.86894344E8</v>
      </c>
      <c r="I326" s="20">
        <v>6300000.0</v>
      </c>
      <c r="J326" s="3" t="s">
        <v>172</v>
      </c>
      <c r="K326" s="5">
        <v>1281.0</v>
      </c>
      <c r="L326" s="3" t="s">
        <v>1144</v>
      </c>
      <c r="M326" s="5">
        <v>2010.0</v>
      </c>
      <c r="N326" s="29" t="s">
        <v>1689</v>
      </c>
      <c r="S326" s="21"/>
      <c r="T326" s="21"/>
    </row>
    <row r="327">
      <c r="A327" s="3" t="s">
        <v>1695</v>
      </c>
      <c r="B327" s="3" t="s">
        <v>38</v>
      </c>
      <c r="C327" s="3" t="s">
        <v>1696</v>
      </c>
      <c r="D327" s="3" t="s">
        <v>46</v>
      </c>
      <c r="E327" s="8" t="s">
        <v>51</v>
      </c>
      <c r="F327" s="7">
        <v>45908.0</v>
      </c>
      <c r="G327" s="3" t="s">
        <v>68</v>
      </c>
      <c r="H327" s="20">
        <v>3.2015327E7</v>
      </c>
      <c r="I327" s="20">
        <v>6300000.0</v>
      </c>
      <c r="J327" s="3" t="s">
        <v>672</v>
      </c>
      <c r="K327" s="5">
        <v>485.0</v>
      </c>
      <c r="L327" s="3" t="s">
        <v>905</v>
      </c>
      <c r="M327" s="5">
        <v>2020.0</v>
      </c>
      <c r="N327" s="29" t="s">
        <v>1699</v>
      </c>
      <c r="S327" s="21"/>
      <c r="T327" s="21"/>
    </row>
    <row r="328">
      <c r="A328" s="3" t="s">
        <v>1826</v>
      </c>
      <c r="B328" s="3" t="s">
        <v>76</v>
      </c>
      <c r="C328" s="3" t="s">
        <v>1827</v>
      </c>
      <c r="D328" s="3" t="s">
        <v>46</v>
      </c>
      <c r="E328" s="8" t="s">
        <v>51</v>
      </c>
      <c r="F328" s="7">
        <v>45497.0</v>
      </c>
      <c r="G328" s="3" t="s">
        <v>670</v>
      </c>
      <c r="H328" s="20">
        <v>7044885.0</v>
      </c>
      <c r="I328" s="20">
        <v>6300000.0</v>
      </c>
      <c r="J328" s="3" t="s">
        <v>72</v>
      </c>
      <c r="K328" s="3"/>
      <c r="L328" s="3" t="s">
        <v>538</v>
      </c>
      <c r="M328" s="3"/>
      <c r="N328" s="3"/>
      <c r="O328" s="1" t="s">
        <v>65</v>
      </c>
      <c r="S328" s="21"/>
      <c r="T328" s="21"/>
    </row>
    <row r="329">
      <c r="A329" s="3" t="s">
        <v>787</v>
      </c>
      <c r="B329" s="3" t="s">
        <v>59</v>
      </c>
      <c r="C329" s="3" t="s">
        <v>788</v>
      </c>
      <c r="D329" s="3" t="s">
        <v>1829</v>
      </c>
      <c r="E329" s="8" t="s">
        <v>51</v>
      </c>
      <c r="F329" s="7">
        <v>45413.0</v>
      </c>
      <c r="G329" s="3" t="s">
        <v>59</v>
      </c>
      <c r="H329" s="20">
        <v>1524198.0</v>
      </c>
      <c r="I329" s="20">
        <v>727363.0</v>
      </c>
      <c r="J329" s="3" t="s">
        <v>172</v>
      </c>
      <c r="K329" s="5">
        <v>31.0</v>
      </c>
      <c r="L329" s="3" t="s">
        <v>496</v>
      </c>
      <c r="M329" s="5">
        <v>2014.0</v>
      </c>
      <c r="N329" s="15" t="s">
        <v>2000</v>
      </c>
      <c r="S329" s="21"/>
      <c r="T329" s="21"/>
    </row>
    <row r="330">
      <c r="A330" s="3" t="s">
        <v>1833</v>
      </c>
      <c r="B330" s="3" t="s">
        <v>38</v>
      </c>
      <c r="C330" s="3" t="s">
        <v>1834</v>
      </c>
      <c r="D330" s="3" t="s">
        <v>46</v>
      </c>
      <c r="E330" s="8" t="s">
        <v>51</v>
      </c>
      <c r="F330" s="7">
        <v>44586.0</v>
      </c>
      <c r="G330" s="3" t="s">
        <v>68</v>
      </c>
      <c r="H330" s="20">
        <v>1.0215152E7</v>
      </c>
      <c r="I330" s="20">
        <v>7560000.0</v>
      </c>
      <c r="J330" s="3" t="s">
        <v>68</v>
      </c>
      <c r="K330" s="3"/>
      <c r="L330" s="3" t="s">
        <v>538</v>
      </c>
      <c r="M330" s="5">
        <v>2019.0</v>
      </c>
      <c r="N330" s="3"/>
      <c r="O330" s="1" t="s">
        <v>65</v>
      </c>
      <c r="S330" s="21"/>
      <c r="T330" s="21"/>
    </row>
    <row r="331">
      <c r="A331" s="3" t="s">
        <v>1838</v>
      </c>
      <c r="B331" s="3" t="s">
        <v>565</v>
      </c>
      <c r="C331" s="3" t="s">
        <v>1839</v>
      </c>
      <c r="D331" s="3" t="s">
        <v>188</v>
      </c>
      <c r="E331" s="8" t="s">
        <v>51</v>
      </c>
      <c r="F331" s="7">
        <v>44245.0</v>
      </c>
      <c r="G331" s="3" t="s">
        <v>736</v>
      </c>
      <c r="H331" s="20">
        <v>1.30613111E8</v>
      </c>
      <c r="I331" s="20">
        <v>8.1E7</v>
      </c>
      <c r="J331" s="3" t="s">
        <v>72</v>
      </c>
      <c r="K331" s="5">
        <v>805.0</v>
      </c>
      <c r="L331" s="3" t="s">
        <v>783</v>
      </c>
      <c r="M331" s="5">
        <v>2011.0</v>
      </c>
      <c r="N331" s="29" t="s">
        <v>1973</v>
      </c>
      <c r="S331" s="21"/>
      <c r="T331" s="21"/>
    </row>
    <row r="332">
      <c r="A332" s="3" t="s">
        <v>1844</v>
      </c>
      <c r="B332" s="3" t="s">
        <v>38</v>
      </c>
      <c r="C332" s="3" t="s">
        <v>1845</v>
      </c>
      <c r="D332" s="3" t="s">
        <v>1846</v>
      </c>
      <c r="E332" s="8" t="s">
        <v>51</v>
      </c>
      <c r="F332" s="7">
        <v>45924.0</v>
      </c>
      <c r="G332" s="3" t="s">
        <v>68</v>
      </c>
      <c r="H332" s="20">
        <v>3.78E7</v>
      </c>
      <c r="I332" s="20">
        <v>9000000.0</v>
      </c>
      <c r="J332" s="3" t="s">
        <v>172</v>
      </c>
      <c r="K332" s="3"/>
      <c r="L332" s="3" t="s">
        <v>905</v>
      </c>
      <c r="M332" s="3"/>
      <c r="N332" s="3"/>
      <c r="O332" s="1" t="s">
        <v>65</v>
      </c>
      <c r="S332" s="21"/>
      <c r="T332" s="21"/>
    </row>
    <row r="333">
      <c r="A333" s="3" t="s">
        <v>1774</v>
      </c>
      <c r="B333" s="3" t="s">
        <v>289</v>
      </c>
      <c r="C333" s="3" t="s">
        <v>1775</v>
      </c>
      <c r="D333" s="3" t="s">
        <v>612</v>
      </c>
      <c r="E333" s="8" t="s">
        <v>51</v>
      </c>
      <c r="F333" s="7">
        <v>46043.0</v>
      </c>
      <c r="G333" s="3" t="s">
        <v>670</v>
      </c>
      <c r="H333" s="20">
        <v>5.9726979E7</v>
      </c>
      <c r="I333" s="20">
        <v>9000000.0</v>
      </c>
      <c r="J333" s="3" t="s">
        <v>172</v>
      </c>
      <c r="K333" s="5">
        <v>74.0</v>
      </c>
      <c r="L333" s="3" t="s">
        <v>538</v>
      </c>
      <c r="M333" s="5">
        <v>2016.0</v>
      </c>
      <c r="N333" s="29" t="s">
        <v>1776</v>
      </c>
      <c r="S333" s="21"/>
      <c r="T333" s="21"/>
    </row>
    <row r="334">
      <c r="A334" s="3" t="s">
        <v>1853</v>
      </c>
      <c r="B334" s="3" t="s">
        <v>289</v>
      </c>
      <c r="C334" s="3" t="s">
        <v>1854</v>
      </c>
      <c r="D334" s="3" t="s">
        <v>46</v>
      </c>
      <c r="E334" s="8" t="s">
        <v>51</v>
      </c>
      <c r="F334" s="7">
        <v>44592.0</v>
      </c>
      <c r="G334" s="3" t="s">
        <v>670</v>
      </c>
      <c r="H334" s="20">
        <v>1.05035434E8</v>
      </c>
      <c r="I334" s="20">
        <v>9.0E7</v>
      </c>
      <c r="J334" s="3" t="s">
        <v>72</v>
      </c>
      <c r="K334" s="5">
        <v>1193.0</v>
      </c>
      <c r="L334" s="3" t="s">
        <v>1144</v>
      </c>
      <c r="M334" s="5">
        <v>2015.0</v>
      </c>
      <c r="N334" s="29" t="s">
        <v>1978</v>
      </c>
      <c r="S334" s="21"/>
      <c r="T334" s="21"/>
    </row>
    <row r="335">
      <c r="A335" s="3" t="s">
        <v>985</v>
      </c>
      <c r="B335" s="3" t="s">
        <v>38</v>
      </c>
      <c r="C335" s="3" t="s">
        <v>986</v>
      </c>
      <c r="D335" s="3" t="s">
        <v>1072</v>
      </c>
      <c r="E335" s="8" t="s">
        <v>51</v>
      </c>
      <c r="F335" s="7">
        <v>45329.0</v>
      </c>
      <c r="G335" s="3" t="s">
        <v>68</v>
      </c>
      <c r="H335" s="20">
        <v>1260000.0</v>
      </c>
      <c r="I335" s="20">
        <v>1260000.0</v>
      </c>
      <c r="J335" s="3" t="s">
        <v>172</v>
      </c>
      <c r="K335" s="5">
        <v>47.0</v>
      </c>
      <c r="L335" s="3" t="s">
        <v>496</v>
      </c>
      <c r="M335" s="5">
        <v>2017.0</v>
      </c>
      <c r="N335" s="29" t="s">
        <v>987</v>
      </c>
      <c r="S335" s="21"/>
      <c r="T335" s="21"/>
    </row>
    <row r="336">
      <c r="A336" s="3" t="s">
        <v>1018</v>
      </c>
      <c r="B336" s="3" t="s">
        <v>59</v>
      </c>
      <c r="C336" s="3" t="s">
        <v>1019</v>
      </c>
      <c r="D336" s="3" t="s">
        <v>1859</v>
      </c>
      <c r="E336" s="8" t="s">
        <v>51</v>
      </c>
      <c r="F336" s="7">
        <v>44701.0</v>
      </c>
      <c r="G336" s="3" t="s">
        <v>59</v>
      </c>
      <c r="H336" s="20">
        <v>1431000.0</v>
      </c>
      <c r="I336" s="20">
        <v>1350000.0</v>
      </c>
      <c r="J336" s="3" t="s">
        <v>72</v>
      </c>
      <c r="K336" s="5">
        <v>40.0</v>
      </c>
      <c r="L336" s="3" t="s">
        <v>496</v>
      </c>
      <c r="M336" s="5">
        <v>2019.0</v>
      </c>
      <c r="N336" s="29" t="s">
        <v>1020</v>
      </c>
      <c r="S336" s="21"/>
      <c r="T336" s="21"/>
    </row>
    <row r="337">
      <c r="A337" s="3" t="s">
        <v>1026</v>
      </c>
      <c r="B337" s="3" t="s">
        <v>59</v>
      </c>
      <c r="C337" s="3" t="s">
        <v>1027</v>
      </c>
      <c r="D337" s="3" t="s">
        <v>188</v>
      </c>
      <c r="E337" s="8" t="s">
        <v>51</v>
      </c>
      <c r="F337" s="7">
        <v>45839.0</v>
      </c>
      <c r="G337" s="3" t="s">
        <v>59</v>
      </c>
      <c r="H337" s="20">
        <v>4050000.0</v>
      </c>
      <c r="I337" s="20">
        <v>1350000.0</v>
      </c>
      <c r="J337" s="3" t="s">
        <v>172</v>
      </c>
      <c r="K337" s="5">
        <v>32.0</v>
      </c>
      <c r="L337" s="3" t="s">
        <v>496</v>
      </c>
      <c r="M337" s="5">
        <v>2014.0</v>
      </c>
      <c r="N337" s="29" t="s">
        <v>1032</v>
      </c>
      <c r="S337" s="21"/>
      <c r="T337" s="21"/>
    </row>
    <row r="338">
      <c r="A338" s="3" t="s">
        <v>1864</v>
      </c>
      <c r="B338" s="3" t="s">
        <v>76</v>
      </c>
      <c r="C338" s="3" t="s">
        <v>1865</v>
      </c>
      <c r="D338" s="3" t="s">
        <v>220</v>
      </c>
      <c r="E338" s="8" t="s">
        <v>51</v>
      </c>
      <c r="F338" s="7">
        <v>45243.0</v>
      </c>
      <c r="G338" s="3" t="s">
        <v>670</v>
      </c>
      <c r="H338" s="20">
        <v>3.4091248E7</v>
      </c>
      <c r="I338" s="20">
        <v>1.3014E7</v>
      </c>
      <c r="J338" s="3" t="s">
        <v>72</v>
      </c>
      <c r="K338" s="5">
        <v>112.0</v>
      </c>
      <c r="L338" s="3" t="s">
        <v>514</v>
      </c>
      <c r="M338" s="5">
        <v>2020.0</v>
      </c>
      <c r="N338" s="29" t="s">
        <v>1894</v>
      </c>
      <c r="S338" s="21"/>
      <c r="T338" s="21"/>
    </row>
    <row r="339">
      <c r="A339" s="3" t="s">
        <v>1868</v>
      </c>
      <c r="B339" s="3" t="s">
        <v>76</v>
      </c>
      <c r="C339" s="3" t="s">
        <v>1869</v>
      </c>
      <c r="D339" s="3" t="s">
        <v>46</v>
      </c>
      <c r="E339" s="8" t="s">
        <v>51</v>
      </c>
      <c r="F339" s="7">
        <v>45810.0</v>
      </c>
      <c r="G339" s="3" t="s">
        <v>670</v>
      </c>
      <c r="H339" s="20">
        <v>5.472E7</v>
      </c>
      <c r="I339" s="20">
        <v>1.44E7</v>
      </c>
      <c r="J339" s="3" t="s">
        <v>672</v>
      </c>
      <c r="K339" s="5">
        <v>222.0</v>
      </c>
      <c r="L339" s="3" t="s">
        <v>905</v>
      </c>
      <c r="M339" s="5">
        <v>2022.0</v>
      </c>
      <c r="N339" s="29" t="s">
        <v>1897</v>
      </c>
      <c r="S339" s="21"/>
      <c r="T339" s="21"/>
    </row>
    <row r="340">
      <c r="A340" s="3" t="s">
        <v>1873</v>
      </c>
      <c r="B340" s="3" t="s">
        <v>38</v>
      </c>
      <c r="C340" s="3" t="s">
        <v>1874</v>
      </c>
      <c r="D340" s="3" t="s">
        <v>46</v>
      </c>
      <c r="E340" s="8" t="s">
        <v>51</v>
      </c>
      <c r="F340" s="7">
        <v>45785.0</v>
      </c>
      <c r="G340" s="3" t="s">
        <v>68</v>
      </c>
      <c r="H340" s="20">
        <v>1710000.0</v>
      </c>
      <c r="I340" s="20">
        <v>1710000.0</v>
      </c>
      <c r="J340" s="3" t="s">
        <v>172</v>
      </c>
      <c r="K340" s="3"/>
      <c r="L340" s="3" t="s">
        <v>538</v>
      </c>
      <c r="M340" s="3"/>
      <c r="N340" s="3"/>
      <c r="O340" s="1" t="s">
        <v>65</v>
      </c>
      <c r="S340" s="21"/>
      <c r="T340" s="21"/>
    </row>
    <row r="341">
      <c r="A341" s="3" t="s">
        <v>1876</v>
      </c>
      <c r="B341" s="3" t="s">
        <v>76</v>
      </c>
      <c r="C341" s="3" t="s">
        <v>1877</v>
      </c>
      <c r="D341" s="3" t="s">
        <v>46</v>
      </c>
      <c r="E341" s="8" t="s">
        <v>51</v>
      </c>
      <c r="F341" s="7">
        <v>46062.0</v>
      </c>
      <c r="G341" s="3" t="s">
        <v>670</v>
      </c>
      <c r="H341" s="20">
        <v>1.89E7</v>
      </c>
      <c r="I341" s="20">
        <v>1.62E7</v>
      </c>
      <c r="J341" s="3" t="s">
        <v>672</v>
      </c>
      <c r="K341" s="5">
        <v>26.0</v>
      </c>
      <c r="L341" s="3" t="s">
        <v>496</v>
      </c>
      <c r="M341" s="5">
        <v>2023.0</v>
      </c>
      <c r="N341" s="29" t="s">
        <v>1908</v>
      </c>
      <c r="S341" s="21"/>
      <c r="T341" s="21"/>
    </row>
    <row r="342">
      <c r="A342" s="3" t="s">
        <v>1880</v>
      </c>
      <c r="B342" s="3" t="s">
        <v>76</v>
      </c>
      <c r="C342" s="3" t="s">
        <v>1504</v>
      </c>
      <c r="D342" s="3" t="s">
        <v>171</v>
      </c>
      <c r="E342" s="8" t="s">
        <v>52</v>
      </c>
      <c r="F342" s="7">
        <v>45587.0</v>
      </c>
      <c r="G342" s="3" t="s">
        <v>670</v>
      </c>
      <c r="H342" s="20">
        <v>2.3368167E7</v>
      </c>
      <c r="I342" s="20">
        <v>1.638E7</v>
      </c>
      <c r="J342" s="3" t="s">
        <v>72</v>
      </c>
      <c r="K342" s="5">
        <v>113.0</v>
      </c>
      <c r="L342" s="3" t="s">
        <v>514</v>
      </c>
      <c r="M342" s="5">
        <v>2017.0</v>
      </c>
      <c r="N342" s="29" t="s">
        <v>1911</v>
      </c>
      <c r="S342" s="21"/>
      <c r="T342" s="21"/>
    </row>
    <row r="343">
      <c r="L343" s="4"/>
      <c r="S343" s="21"/>
      <c r="T343" s="21"/>
    </row>
    <row r="344">
      <c r="L344" s="4"/>
      <c r="S344" s="21"/>
      <c r="T344" s="21"/>
    </row>
    <row r="345">
      <c r="L345" s="4"/>
      <c r="S345" s="21"/>
      <c r="T345" s="21"/>
    </row>
    <row r="346">
      <c r="L346" s="4"/>
      <c r="S346" s="21"/>
      <c r="T346" s="21"/>
    </row>
    <row r="347">
      <c r="L347" s="4"/>
      <c r="S347" s="21"/>
      <c r="T347" s="21"/>
    </row>
    <row r="348">
      <c r="L348" s="4"/>
      <c r="S348" s="21"/>
      <c r="T348" s="21"/>
    </row>
    <row r="349">
      <c r="L349" s="4"/>
      <c r="S349" s="21"/>
      <c r="T349" s="21"/>
    </row>
    <row r="350">
      <c r="L350" s="4"/>
      <c r="S350" s="21"/>
      <c r="T350" s="21"/>
    </row>
    <row r="351">
      <c r="L351" s="4"/>
      <c r="S351" s="21"/>
      <c r="T351" s="21"/>
    </row>
    <row r="352">
      <c r="L352" s="4"/>
      <c r="S352" s="21"/>
      <c r="T352" s="21"/>
    </row>
    <row r="353">
      <c r="L353" s="4"/>
      <c r="S353" s="21"/>
      <c r="T353" s="21"/>
    </row>
    <row r="354">
      <c r="L354" s="4"/>
      <c r="S354" s="21"/>
      <c r="T354" s="21"/>
    </row>
    <row r="355">
      <c r="L355" s="4"/>
      <c r="S355" s="21"/>
      <c r="T355" s="21"/>
    </row>
    <row r="356">
      <c r="L356" s="4"/>
      <c r="S356" s="21"/>
      <c r="T356" s="21"/>
    </row>
    <row r="357">
      <c r="L357" s="4"/>
      <c r="S357" s="21"/>
      <c r="T357" s="21"/>
    </row>
    <row r="358">
      <c r="L358" s="4"/>
      <c r="S358" s="21"/>
      <c r="T358" s="21"/>
    </row>
    <row r="359">
      <c r="L359" s="4"/>
      <c r="S359" s="21"/>
      <c r="T359" s="21"/>
    </row>
    <row r="360">
      <c r="L360" s="4"/>
      <c r="S360" s="21"/>
      <c r="T360" s="21"/>
    </row>
    <row r="361">
      <c r="L361" s="4"/>
      <c r="S361" s="21"/>
      <c r="T361" s="21"/>
    </row>
    <row r="362">
      <c r="L362" s="4"/>
      <c r="S362" s="21"/>
      <c r="T362" s="21"/>
    </row>
    <row r="363">
      <c r="L363" s="4"/>
      <c r="S363" s="21"/>
      <c r="T363" s="21"/>
    </row>
    <row r="364">
      <c r="L364" s="4"/>
      <c r="S364" s="21"/>
      <c r="T364" s="21"/>
    </row>
    <row r="365">
      <c r="L365" s="4"/>
      <c r="S365" s="21"/>
      <c r="T365" s="21"/>
    </row>
    <row r="366">
      <c r="L366" s="4"/>
      <c r="S366" s="21"/>
      <c r="T366" s="21"/>
    </row>
    <row r="367">
      <c r="L367" s="4"/>
      <c r="S367" s="21"/>
      <c r="T367" s="21"/>
    </row>
    <row r="368">
      <c r="L368" s="4"/>
      <c r="S368" s="21"/>
      <c r="T368" s="21"/>
    </row>
    <row r="369">
      <c r="L369" s="4"/>
      <c r="S369" s="21"/>
      <c r="T369" s="21"/>
    </row>
    <row r="370">
      <c r="L370" s="4"/>
      <c r="S370" s="21"/>
      <c r="T370" s="21"/>
    </row>
    <row r="371">
      <c r="L371" s="4"/>
      <c r="S371" s="21"/>
      <c r="T371" s="21"/>
    </row>
    <row r="372">
      <c r="L372" s="4"/>
      <c r="S372" s="21"/>
      <c r="T372" s="21"/>
    </row>
    <row r="373">
      <c r="L373" s="4"/>
      <c r="S373" s="21"/>
      <c r="T373" s="21"/>
    </row>
    <row r="374">
      <c r="L374" s="4"/>
      <c r="S374" s="21"/>
      <c r="T374" s="21"/>
    </row>
    <row r="375">
      <c r="L375" s="4"/>
      <c r="S375" s="21"/>
      <c r="T375" s="21"/>
    </row>
    <row r="376">
      <c r="L376" s="4"/>
      <c r="S376" s="21"/>
      <c r="T376" s="21"/>
    </row>
    <row r="377">
      <c r="L377" s="4"/>
      <c r="S377" s="21"/>
      <c r="T377" s="21"/>
    </row>
    <row r="378">
      <c r="L378" s="4"/>
      <c r="S378" s="21"/>
      <c r="T378" s="21"/>
    </row>
    <row r="379">
      <c r="L379" s="4"/>
      <c r="S379" s="21"/>
      <c r="T379" s="21"/>
    </row>
    <row r="380">
      <c r="L380" s="4"/>
      <c r="S380" s="21"/>
      <c r="T380" s="21"/>
    </row>
    <row r="381">
      <c r="L381" s="4"/>
      <c r="S381" s="21"/>
      <c r="T381" s="21"/>
    </row>
    <row r="382">
      <c r="L382" s="4"/>
      <c r="S382" s="21"/>
      <c r="T382" s="21"/>
    </row>
    <row r="383">
      <c r="L383" s="4"/>
      <c r="S383" s="21"/>
      <c r="T383" s="21"/>
    </row>
    <row r="384">
      <c r="L384" s="4"/>
      <c r="S384" s="21"/>
      <c r="T384" s="21"/>
    </row>
    <row r="385">
      <c r="L385" s="4"/>
      <c r="S385" s="21"/>
      <c r="T385" s="21"/>
    </row>
    <row r="386">
      <c r="L386" s="4"/>
      <c r="S386" s="21"/>
      <c r="T386" s="21"/>
    </row>
    <row r="387">
      <c r="L387" s="4"/>
      <c r="S387" s="21"/>
      <c r="T387" s="21"/>
    </row>
    <row r="388">
      <c r="L388" s="4"/>
      <c r="S388" s="21"/>
      <c r="T388" s="21"/>
    </row>
    <row r="389">
      <c r="L389" s="4"/>
      <c r="S389" s="21"/>
      <c r="T389" s="21"/>
    </row>
    <row r="390">
      <c r="L390" s="4"/>
      <c r="S390" s="21"/>
      <c r="T390" s="21"/>
    </row>
    <row r="391">
      <c r="L391" s="4"/>
      <c r="S391" s="21"/>
      <c r="T391" s="21"/>
    </row>
    <row r="392">
      <c r="L392" s="4"/>
      <c r="S392" s="21"/>
      <c r="T392" s="21"/>
    </row>
    <row r="393">
      <c r="L393" s="4"/>
      <c r="S393" s="21"/>
      <c r="T393" s="21"/>
    </row>
    <row r="394">
      <c r="L394" s="4"/>
      <c r="S394" s="21"/>
      <c r="T394" s="21"/>
    </row>
    <row r="395">
      <c r="L395" s="4"/>
      <c r="S395" s="21"/>
      <c r="T395" s="21"/>
    </row>
    <row r="396">
      <c r="L396" s="4"/>
      <c r="S396" s="21"/>
      <c r="T396" s="21"/>
    </row>
    <row r="397">
      <c r="L397" s="4"/>
      <c r="S397" s="21"/>
      <c r="T397" s="21"/>
    </row>
    <row r="398">
      <c r="L398" s="4"/>
      <c r="S398" s="21"/>
      <c r="T398" s="21"/>
    </row>
    <row r="399">
      <c r="L399" s="4"/>
      <c r="S399" s="21"/>
      <c r="T399" s="21"/>
    </row>
    <row r="400">
      <c r="L400" s="4"/>
      <c r="S400" s="21"/>
      <c r="T400" s="21"/>
    </row>
    <row r="401">
      <c r="L401" s="4"/>
      <c r="S401" s="21"/>
      <c r="T401" s="21"/>
    </row>
    <row r="402">
      <c r="L402" s="4"/>
      <c r="S402" s="21"/>
      <c r="T402" s="21"/>
    </row>
    <row r="403">
      <c r="L403" s="4"/>
      <c r="S403" s="21"/>
      <c r="T403" s="21"/>
    </row>
    <row r="404">
      <c r="L404" s="4"/>
      <c r="S404" s="21"/>
      <c r="T404" s="21"/>
    </row>
    <row r="405">
      <c r="L405" s="4"/>
      <c r="S405" s="21"/>
      <c r="T405" s="21"/>
    </row>
    <row r="406">
      <c r="L406" s="4"/>
      <c r="S406" s="21"/>
      <c r="T406" s="21"/>
    </row>
    <row r="407">
      <c r="L407" s="4"/>
      <c r="S407" s="21"/>
      <c r="T407" s="21"/>
    </row>
    <row r="408">
      <c r="L408" s="4"/>
      <c r="S408" s="21"/>
      <c r="T408" s="21"/>
    </row>
    <row r="409">
      <c r="L409" s="4"/>
      <c r="S409" s="21"/>
      <c r="T409" s="21"/>
    </row>
    <row r="410">
      <c r="L410" s="4"/>
      <c r="S410" s="21"/>
      <c r="T410" s="21"/>
    </row>
    <row r="411">
      <c r="L411" s="4"/>
      <c r="S411" s="21"/>
      <c r="T411" s="21"/>
    </row>
    <row r="412">
      <c r="L412" s="4"/>
      <c r="S412" s="21"/>
      <c r="T412" s="21"/>
    </row>
    <row r="413">
      <c r="L413" s="4"/>
      <c r="S413" s="21"/>
      <c r="T413" s="21"/>
    </row>
    <row r="414">
      <c r="L414" s="4"/>
      <c r="S414" s="21"/>
      <c r="T414" s="21"/>
    </row>
    <row r="415">
      <c r="L415" s="4"/>
      <c r="S415" s="21"/>
      <c r="T415" s="21"/>
    </row>
    <row r="416">
      <c r="L416" s="4"/>
      <c r="S416" s="21"/>
      <c r="T416" s="21"/>
    </row>
    <row r="417">
      <c r="L417" s="4"/>
      <c r="S417" s="21"/>
      <c r="T417" s="21"/>
    </row>
    <row r="418">
      <c r="L418" s="4"/>
      <c r="S418" s="21"/>
      <c r="T418" s="21"/>
    </row>
    <row r="419">
      <c r="L419" s="4"/>
      <c r="S419" s="21"/>
      <c r="T419" s="21"/>
    </row>
    <row r="420">
      <c r="L420" s="4"/>
      <c r="S420" s="21"/>
      <c r="T420" s="21"/>
    </row>
    <row r="421">
      <c r="L421" s="4"/>
      <c r="S421" s="21"/>
      <c r="T421" s="21"/>
    </row>
    <row r="422">
      <c r="L422" s="4"/>
      <c r="S422" s="21"/>
      <c r="T422" s="21"/>
    </row>
    <row r="423">
      <c r="L423" s="4"/>
      <c r="S423" s="21"/>
      <c r="T423" s="21"/>
    </row>
    <row r="424">
      <c r="L424" s="4"/>
      <c r="S424" s="21"/>
      <c r="T424" s="21"/>
    </row>
    <row r="425">
      <c r="L425" s="4"/>
      <c r="S425" s="21"/>
      <c r="T425" s="21"/>
    </row>
    <row r="426">
      <c r="L426" s="4"/>
      <c r="S426" s="21"/>
      <c r="T426" s="21"/>
    </row>
    <row r="427">
      <c r="L427" s="4"/>
      <c r="S427" s="21"/>
      <c r="T427" s="21"/>
    </row>
    <row r="428">
      <c r="L428" s="4"/>
      <c r="S428" s="21"/>
      <c r="T428" s="21"/>
    </row>
    <row r="429">
      <c r="L429" s="4"/>
      <c r="S429" s="21"/>
      <c r="T429" s="21"/>
    </row>
    <row r="430">
      <c r="L430" s="4"/>
      <c r="S430" s="21"/>
      <c r="T430" s="21"/>
    </row>
    <row r="431">
      <c r="L431" s="4"/>
      <c r="S431" s="21"/>
      <c r="T431" s="21"/>
    </row>
    <row r="432">
      <c r="L432" s="4"/>
      <c r="S432" s="21"/>
      <c r="T432" s="21"/>
    </row>
    <row r="433">
      <c r="L433" s="4"/>
      <c r="S433" s="21"/>
      <c r="T433" s="21"/>
    </row>
    <row r="434">
      <c r="L434" s="4"/>
      <c r="S434" s="21"/>
      <c r="T434" s="21"/>
    </row>
    <row r="435">
      <c r="L435" s="4"/>
      <c r="S435" s="21"/>
      <c r="T435" s="21"/>
    </row>
    <row r="436">
      <c r="L436" s="4"/>
      <c r="S436" s="21"/>
      <c r="T436" s="21"/>
    </row>
    <row r="437">
      <c r="L437" s="4"/>
      <c r="S437" s="21"/>
      <c r="T437" s="21"/>
    </row>
    <row r="438">
      <c r="L438" s="4"/>
      <c r="S438" s="21"/>
      <c r="T438" s="21"/>
    </row>
    <row r="439">
      <c r="L439" s="4"/>
      <c r="S439" s="21"/>
      <c r="T439" s="21"/>
    </row>
    <row r="440">
      <c r="L440" s="4"/>
      <c r="S440" s="21"/>
      <c r="T440" s="21"/>
    </row>
    <row r="441">
      <c r="L441" s="4"/>
      <c r="S441" s="21"/>
      <c r="T441" s="21"/>
    </row>
    <row r="442">
      <c r="L442" s="4"/>
      <c r="S442" s="21"/>
      <c r="T442" s="21"/>
    </row>
    <row r="443">
      <c r="L443" s="4"/>
      <c r="S443" s="21"/>
      <c r="T443" s="21"/>
    </row>
    <row r="444">
      <c r="L444" s="4"/>
      <c r="S444" s="21"/>
      <c r="T444" s="21"/>
    </row>
    <row r="445">
      <c r="L445" s="4"/>
      <c r="S445" s="21"/>
      <c r="T445" s="21"/>
    </row>
    <row r="446">
      <c r="L446" s="4"/>
      <c r="S446" s="21"/>
      <c r="T446" s="21"/>
    </row>
    <row r="447">
      <c r="L447" s="4"/>
      <c r="S447" s="21"/>
      <c r="T447" s="21"/>
    </row>
    <row r="448">
      <c r="L448" s="4"/>
      <c r="S448" s="21"/>
      <c r="T448" s="21"/>
    </row>
    <row r="449">
      <c r="L449" s="4"/>
      <c r="S449" s="21"/>
      <c r="T449" s="21"/>
    </row>
    <row r="450">
      <c r="L450" s="4"/>
      <c r="S450" s="21"/>
      <c r="T450" s="21"/>
    </row>
    <row r="451">
      <c r="L451" s="4"/>
      <c r="S451" s="21"/>
      <c r="T451" s="21"/>
    </row>
    <row r="452">
      <c r="L452" s="4"/>
      <c r="S452" s="21"/>
      <c r="T452" s="21"/>
    </row>
    <row r="453">
      <c r="L453" s="4"/>
      <c r="S453" s="21"/>
      <c r="T453" s="21"/>
    </row>
    <row r="454">
      <c r="L454" s="4"/>
      <c r="S454" s="21"/>
      <c r="T454" s="21"/>
    </row>
    <row r="455">
      <c r="L455" s="4"/>
      <c r="S455" s="21"/>
      <c r="T455" s="21"/>
    </row>
    <row r="456">
      <c r="L456" s="4"/>
      <c r="S456" s="21"/>
      <c r="T456" s="21"/>
    </row>
    <row r="457">
      <c r="L457" s="4"/>
      <c r="S457" s="21"/>
      <c r="T457" s="21"/>
    </row>
    <row r="458">
      <c r="L458" s="4"/>
      <c r="S458" s="21"/>
      <c r="T458" s="21"/>
    </row>
    <row r="459">
      <c r="L459" s="4"/>
      <c r="S459" s="21"/>
      <c r="T459" s="21"/>
    </row>
    <row r="460">
      <c r="L460" s="4"/>
      <c r="S460" s="21"/>
      <c r="T460" s="21"/>
    </row>
    <row r="461">
      <c r="L461" s="4"/>
      <c r="S461" s="21"/>
      <c r="T461" s="21"/>
    </row>
    <row r="462">
      <c r="L462" s="4"/>
      <c r="S462" s="21"/>
      <c r="T462" s="21"/>
    </row>
    <row r="463">
      <c r="L463" s="4"/>
      <c r="S463" s="21"/>
      <c r="T463" s="21"/>
    </row>
    <row r="464">
      <c r="L464" s="4"/>
      <c r="S464" s="21"/>
      <c r="T464" s="21"/>
    </row>
    <row r="465">
      <c r="L465" s="4"/>
      <c r="S465" s="21"/>
      <c r="T465" s="21"/>
    </row>
    <row r="466">
      <c r="L466" s="4"/>
      <c r="S466" s="21"/>
      <c r="T466" s="21"/>
    </row>
    <row r="467">
      <c r="L467" s="4"/>
      <c r="S467" s="21"/>
      <c r="T467" s="21"/>
    </row>
    <row r="468">
      <c r="L468" s="4"/>
      <c r="S468" s="21"/>
      <c r="T468" s="21"/>
    </row>
    <row r="469">
      <c r="L469" s="4"/>
      <c r="S469" s="21"/>
      <c r="T469" s="21"/>
    </row>
    <row r="470">
      <c r="L470" s="4"/>
      <c r="S470" s="21"/>
      <c r="T470" s="21"/>
    </row>
    <row r="471">
      <c r="L471" s="4"/>
      <c r="S471" s="21"/>
      <c r="T471" s="21"/>
    </row>
    <row r="472">
      <c r="L472" s="4"/>
      <c r="S472" s="21"/>
      <c r="T472" s="21"/>
    </row>
    <row r="473">
      <c r="L473" s="4"/>
      <c r="S473" s="21"/>
      <c r="T473" s="21"/>
    </row>
    <row r="474">
      <c r="L474" s="4"/>
      <c r="S474" s="21"/>
      <c r="T474" s="21"/>
    </row>
    <row r="475">
      <c r="L475" s="4"/>
      <c r="S475" s="21"/>
      <c r="T475" s="21"/>
    </row>
    <row r="476">
      <c r="L476" s="4"/>
      <c r="S476" s="21"/>
      <c r="T476" s="21"/>
    </row>
    <row r="477">
      <c r="L477" s="4"/>
      <c r="S477" s="21"/>
      <c r="T477" s="21"/>
    </row>
    <row r="478">
      <c r="L478" s="4"/>
      <c r="S478" s="21"/>
      <c r="T478" s="21"/>
    </row>
    <row r="479">
      <c r="L479" s="4"/>
      <c r="S479" s="21"/>
      <c r="T479" s="21"/>
    </row>
    <row r="480">
      <c r="L480" s="4"/>
      <c r="S480" s="21"/>
      <c r="T480" s="21"/>
    </row>
    <row r="481">
      <c r="L481" s="4"/>
      <c r="S481" s="21"/>
      <c r="T481" s="21"/>
    </row>
    <row r="482">
      <c r="L482" s="4"/>
      <c r="S482" s="21"/>
      <c r="T482" s="21"/>
    </row>
    <row r="483">
      <c r="L483" s="4"/>
      <c r="S483" s="21"/>
      <c r="T483" s="21"/>
    </row>
    <row r="484">
      <c r="L484" s="4"/>
      <c r="S484" s="21"/>
      <c r="T484" s="21"/>
    </row>
    <row r="485">
      <c r="L485" s="4"/>
      <c r="S485" s="21"/>
      <c r="T485" s="21"/>
    </row>
    <row r="486">
      <c r="L486" s="4"/>
      <c r="S486" s="21"/>
      <c r="T486" s="21"/>
    </row>
    <row r="487">
      <c r="L487" s="4"/>
      <c r="S487" s="21"/>
      <c r="T487" s="21"/>
    </row>
    <row r="488">
      <c r="L488" s="4"/>
      <c r="S488" s="21"/>
      <c r="T488" s="21"/>
    </row>
    <row r="489">
      <c r="L489" s="4"/>
      <c r="S489" s="21"/>
      <c r="T489" s="21"/>
    </row>
    <row r="490">
      <c r="L490" s="4"/>
      <c r="S490" s="21"/>
      <c r="T490" s="21"/>
    </row>
    <row r="491">
      <c r="L491" s="4"/>
      <c r="S491" s="21"/>
      <c r="T491" s="21"/>
    </row>
    <row r="492">
      <c r="L492" s="4"/>
      <c r="S492" s="21"/>
      <c r="T492" s="21"/>
    </row>
    <row r="493">
      <c r="L493" s="4"/>
      <c r="S493" s="21"/>
      <c r="T493" s="21"/>
    </row>
    <row r="494">
      <c r="L494" s="4"/>
      <c r="S494" s="21"/>
      <c r="T494" s="21"/>
    </row>
    <row r="495">
      <c r="L495" s="4"/>
      <c r="S495" s="21"/>
      <c r="T495" s="21"/>
    </row>
    <row r="496">
      <c r="L496" s="4"/>
      <c r="S496" s="21"/>
      <c r="T496" s="21"/>
    </row>
    <row r="497">
      <c r="L497" s="4"/>
      <c r="S497" s="21"/>
      <c r="T497" s="21"/>
    </row>
    <row r="498">
      <c r="L498" s="4"/>
      <c r="S498" s="21"/>
      <c r="T498" s="21"/>
    </row>
    <row r="499">
      <c r="L499" s="4"/>
      <c r="S499" s="21"/>
      <c r="T499" s="21"/>
    </row>
    <row r="500">
      <c r="L500" s="4"/>
      <c r="S500" s="21"/>
      <c r="T500" s="21"/>
    </row>
    <row r="501">
      <c r="L501" s="4"/>
      <c r="S501" s="21"/>
      <c r="T501" s="21"/>
    </row>
    <row r="502">
      <c r="L502" s="4"/>
      <c r="S502" s="21"/>
      <c r="T502" s="21"/>
    </row>
    <row r="503">
      <c r="L503" s="4"/>
      <c r="S503" s="21"/>
      <c r="T503" s="21"/>
    </row>
    <row r="504">
      <c r="L504" s="4"/>
      <c r="S504" s="21"/>
      <c r="T504" s="21"/>
    </row>
    <row r="505">
      <c r="L505" s="4"/>
      <c r="S505" s="21"/>
      <c r="T505" s="21"/>
    </row>
    <row r="506">
      <c r="L506" s="4"/>
      <c r="S506" s="21"/>
      <c r="T506" s="21"/>
    </row>
    <row r="507">
      <c r="L507" s="4"/>
      <c r="S507" s="21"/>
      <c r="T507" s="21"/>
    </row>
    <row r="508">
      <c r="L508" s="4"/>
      <c r="S508" s="21"/>
      <c r="T508" s="21"/>
    </row>
    <row r="509">
      <c r="L509" s="4"/>
      <c r="S509" s="21"/>
      <c r="T509" s="21"/>
    </row>
    <row r="510">
      <c r="L510" s="4"/>
      <c r="S510" s="21"/>
      <c r="T510" s="21"/>
    </row>
    <row r="511">
      <c r="L511" s="4"/>
      <c r="S511" s="21"/>
      <c r="T511" s="21"/>
    </row>
    <row r="512">
      <c r="L512" s="4"/>
      <c r="S512" s="21"/>
      <c r="T512" s="21"/>
    </row>
    <row r="513">
      <c r="L513" s="4"/>
      <c r="S513" s="21"/>
      <c r="T513" s="21"/>
    </row>
    <row r="514">
      <c r="L514" s="4"/>
      <c r="S514" s="21"/>
      <c r="T514" s="21"/>
    </row>
    <row r="515">
      <c r="L515" s="4"/>
      <c r="S515" s="21"/>
      <c r="T515" s="21"/>
    </row>
    <row r="516">
      <c r="L516" s="4"/>
      <c r="S516" s="21"/>
      <c r="T516" s="21"/>
    </row>
    <row r="517">
      <c r="L517" s="4"/>
      <c r="S517" s="21"/>
      <c r="T517" s="21"/>
    </row>
    <row r="518">
      <c r="L518" s="4"/>
      <c r="S518" s="21"/>
      <c r="T518" s="21"/>
    </row>
    <row r="519">
      <c r="L519" s="4"/>
      <c r="S519" s="21"/>
      <c r="T519" s="21"/>
    </row>
    <row r="520">
      <c r="L520" s="4"/>
      <c r="S520" s="21"/>
      <c r="T520" s="21"/>
    </row>
    <row r="521">
      <c r="L521" s="4"/>
      <c r="S521" s="21"/>
      <c r="T521" s="21"/>
    </row>
    <row r="522">
      <c r="L522" s="4"/>
      <c r="S522" s="21"/>
      <c r="T522" s="21"/>
    </row>
    <row r="523">
      <c r="L523" s="4"/>
      <c r="S523" s="21"/>
      <c r="T523" s="21"/>
    </row>
    <row r="524">
      <c r="L524" s="4"/>
      <c r="S524" s="21"/>
      <c r="T524" s="21"/>
    </row>
    <row r="525">
      <c r="L525" s="4"/>
      <c r="S525" s="21"/>
      <c r="T525" s="21"/>
    </row>
    <row r="526">
      <c r="L526" s="4"/>
      <c r="S526" s="21"/>
      <c r="T526" s="21"/>
    </row>
    <row r="527">
      <c r="L527" s="4"/>
      <c r="S527" s="21"/>
      <c r="T527" s="21"/>
    </row>
    <row r="528">
      <c r="L528" s="4"/>
      <c r="S528" s="21"/>
      <c r="T528" s="21"/>
    </row>
    <row r="529">
      <c r="L529" s="4"/>
      <c r="S529" s="21"/>
      <c r="T529" s="21"/>
    </row>
    <row r="530">
      <c r="L530" s="4"/>
      <c r="S530" s="21"/>
      <c r="T530" s="21"/>
    </row>
    <row r="531">
      <c r="L531" s="4"/>
      <c r="S531" s="21"/>
      <c r="T531" s="21"/>
    </row>
    <row r="532">
      <c r="L532" s="4"/>
      <c r="S532" s="21"/>
      <c r="T532" s="21"/>
    </row>
    <row r="533">
      <c r="L533" s="4"/>
      <c r="S533" s="21"/>
      <c r="T533" s="21"/>
    </row>
    <row r="534">
      <c r="L534" s="4"/>
      <c r="S534" s="21"/>
      <c r="T534" s="21"/>
    </row>
    <row r="535">
      <c r="L535" s="4"/>
      <c r="S535" s="21"/>
      <c r="T535" s="21"/>
    </row>
    <row r="536">
      <c r="L536" s="4"/>
      <c r="S536" s="21"/>
      <c r="T536" s="21"/>
    </row>
    <row r="537">
      <c r="L537" s="4"/>
      <c r="S537" s="21"/>
      <c r="T537" s="21"/>
    </row>
    <row r="538">
      <c r="L538" s="4"/>
      <c r="S538" s="21"/>
      <c r="T538" s="21"/>
    </row>
    <row r="539">
      <c r="L539" s="4"/>
      <c r="S539" s="21"/>
      <c r="T539" s="21"/>
    </row>
    <row r="540">
      <c r="L540" s="4"/>
      <c r="S540" s="21"/>
      <c r="T540" s="21"/>
    </row>
    <row r="541">
      <c r="L541" s="4"/>
      <c r="S541" s="21"/>
      <c r="T541" s="21"/>
    </row>
    <row r="542">
      <c r="L542" s="4"/>
      <c r="S542" s="21"/>
      <c r="T542" s="21"/>
    </row>
    <row r="543">
      <c r="L543" s="4"/>
      <c r="S543" s="21"/>
      <c r="T543" s="21"/>
    </row>
    <row r="544">
      <c r="L544" s="4"/>
      <c r="S544" s="21"/>
      <c r="T544" s="21"/>
    </row>
    <row r="545">
      <c r="L545" s="4"/>
      <c r="S545" s="21"/>
      <c r="T545" s="21"/>
    </row>
    <row r="546">
      <c r="L546" s="4"/>
      <c r="S546" s="21"/>
      <c r="T546" s="21"/>
    </row>
    <row r="547">
      <c r="L547" s="4"/>
      <c r="S547" s="21"/>
      <c r="T547" s="21"/>
    </row>
    <row r="548">
      <c r="L548" s="4"/>
      <c r="S548" s="21"/>
      <c r="T548" s="21"/>
    </row>
    <row r="549">
      <c r="L549" s="4"/>
      <c r="S549" s="21"/>
      <c r="T549" s="21"/>
    </row>
    <row r="550">
      <c r="L550" s="4"/>
      <c r="S550" s="21"/>
      <c r="T550" s="21"/>
    </row>
    <row r="551">
      <c r="L551" s="4"/>
      <c r="S551" s="21"/>
      <c r="T551" s="21"/>
    </row>
    <row r="552">
      <c r="L552" s="4"/>
      <c r="S552" s="21"/>
      <c r="T552" s="21"/>
    </row>
    <row r="553">
      <c r="L553" s="4"/>
      <c r="S553" s="21"/>
      <c r="T553" s="21"/>
    </row>
    <row r="554">
      <c r="L554" s="4"/>
      <c r="S554" s="21"/>
      <c r="T554" s="21"/>
    </row>
    <row r="555">
      <c r="L555" s="4"/>
      <c r="S555" s="21"/>
      <c r="T555" s="21"/>
    </row>
    <row r="556">
      <c r="L556" s="4"/>
      <c r="S556" s="21"/>
      <c r="T556" s="21"/>
    </row>
    <row r="557">
      <c r="L557" s="4"/>
      <c r="S557" s="21"/>
      <c r="T557" s="21"/>
    </row>
    <row r="558">
      <c r="L558" s="4"/>
      <c r="S558" s="21"/>
      <c r="T558" s="21"/>
    </row>
    <row r="559">
      <c r="L559" s="4"/>
      <c r="S559" s="21"/>
      <c r="T559" s="21"/>
    </row>
    <row r="560">
      <c r="L560" s="4"/>
      <c r="S560" s="21"/>
      <c r="T560" s="21"/>
    </row>
    <row r="561">
      <c r="L561" s="4"/>
      <c r="S561" s="21"/>
      <c r="T561" s="21"/>
    </row>
    <row r="562">
      <c r="L562" s="4"/>
      <c r="S562" s="21"/>
      <c r="T562" s="21"/>
    </row>
    <row r="563">
      <c r="L563" s="4"/>
      <c r="S563" s="21"/>
      <c r="T563" s="21"/>
    </row>
    <row r="564">
      <c r="L564" s="4"/>
      <c r="S564" s="21"/>
      <c r="T564" s="21"/>
    </row>
    <row r="565">
      <c r="L565" s="4"/>
      <c r="S565" s="21"/>
      <c r="T565" s="21"/>
    </row>
    <row r="566">
      <c r="L566" s="4"/>
      <c r="S566" s="21"/>
      <c r="T566" s="21"/>
    </row>
    <row r="567">
      <c r="L567" s="4"/>
      <c r="S567" s="21"/>
      <c r="T567" s="21"/>
    </row>
    <row r="568">
      <c r="L568" s="4"/>
      <c r="S568" s="21"/>
      <c r="T568" s="21"/>
    </row>
    <row r="569">
      <c r="L569" s="4"/>
      <c r="S569" s="21"/>
      <c r="T569" s="21"/>
    </row>
    <row r="570">
      <c r="L570" s="4"/>
      <c r="S570" s="21"/>
      <c r="T570" s="21"/>
    </row>
    <row r="571">
      <c r="L571" s="4"/>
      <c r="S571" s="21"/>
      <c r="T571" s="21"/>
    </row>
    <row r="572">
      <c r="L572" s="4"/>
      <c r="S572" s="21"/>
      <c r="T572" s="21"/>
    </row>
    <row r="573">
      <c r="L573" s="4"/>
      <c r="S573" s="21"/>
      <c r="T573" s="21"/>
    </row>
    <row r="574">
      <c r="L574" s="4"/>
      <c r="S574" s="21"/>
      <c r="T574" s="21"/>
    </row>
    <row r="575">
      <c r="L575" s="4"/>
      <c r="S575" s="21"/>
      <c r="T575" s="21"/>
    </row>
    <row r="576">
      <c r="L576" s="4"/>
      <c r="S576" s="21"/>
      <c r="T576" s="21"/>
    </row>
    <row r="577">
      <c r="L577" s="4"/>
      <c r="S577" s="21"/>
      <c r="T577" s="21"/>
    </row>
    <row r="578">
      <c r="L578" s="4"/>
      <c r="S578" s="21"/>
      <c r="T578" s="21"/>
    </row>
    <row r="579">
      <c r="L579" s="4"/>
      <c r="S579" s="21"/>
      <c r="T579" s="21"/>
    </row>
    <row r="580">
      <c r="L580" s="4"/>
      <c r="S580" s="21"/>
      <c r="T580" s="21"/>
    </row>
    <row r="581">
      <c r="L581" s="4"/>
      <c r="S581" s="21"/>
      <c r="T581" s="21"/>
    </row>
    <row r="582">
      <c r="L582" s="4"/>
      <c r="S582" s="21"/>
      <c r="T582" s="21"/>
    </row>
    <row r="583">
      <c r="L583" s="4"/>
      <c r="S583" s="21"/>
      <c r="T583" s="21"/>
    </row>
    <row r="584">
      <c r="L584" s="4"/>
      <c r="S584" s="21"/>
      <c r="T584" s="21"/>
    </row>
    <row r="585">
      <c r="L585" s="4"/>
      <c r="S585" s="21"/>
      <c r="T585" s="21"/>
    </row>
    <row r="586">
      <c r="L586" s="4"/>
      <c r="S586" s="21"/>
      <c r="T586" s="21"/>
    </row>
    <row r="587">
      <c r="L587" s="4"/>
      <c r="S587" s="21"/>
      <c r="T587" s="21"/>
    </row>
    <row r="588">
      <c r="L588" s="4"/>
      <c r="S588" s="21"/>
      <c r="T588" s="21"/>
    </row>
    <row r="589">
      <c r="L589" s="4"/>
      <c r="S589" s="21"/>
      <c r="T589" s="21"/>
    </row>
    <row r="590">
      <c r="L590" s="4"/>
      <c r="S590" s="21"/>
      <c r="T590" s="21"/>
    </row>
    <row r="591">
      <c r="L591" s="4"/>
      <c r="S591" s="21"/>
      <c r="T591" s="21"/>
    </row>
    <row r="592">
      <c r="L592" s="4"/>
      <c r="S592" s="21"/>
      <c r="T592" s="21"/>
    </row>
    <row r="593">
      <c r="L593" s="4"/>
      <c r="S593" s="21"/>
      <c r="T593" s="21"/>
    </row>
    <row r="594">
      <c r="L594" s="4"/>
      <c r="S594" s="21"/>
      <c r="T594" s="21"/>
    </row>
    <row r="595">
      <c r="L595" s="4"/>
      <c r="S595" s="21"/>
      <c r="T595" s="21"/>
    </row>
    <row r="596">
      <c r="L596" s="4"/>
      <c r="S596" s="21"/>
      <c r="T596" s="21"/>
    </row>
    <row r="597">
      <c r="L597" s="4"/>
      <c r="S597" s="21"/>
      <c r="T597" s="21"/>
    </row>
    <row r="598">
      <c r="L598" s="4"/>
      <c r="S598" s="21"/>
      <c r="T598" s="21"/>
    </row>
    <row r="599">
      <c r="L599" s="4"/>
      <c r="S599" s="21"/>
      <c r="T599" s="21"/>
    </row>
    <row r="600">
      <c r="L600" s="4"/>
      <c r="S600" s="21"/>
      <c r="T600" s="21"/>
    </row>
    <row r="601">
      <c r="L601" s="4"/>
      <c r="S601" s="21"/>
      <c r="T601" s="21"/>
    </row>
    <row r="602">
      <c r="L602" s="4"/>
      <c r="S602" s="21"/>
      <c r="T602" s="21"/>
    </row>
    <row r="603">
      <c r="L603" s="4"/>
      <c r="S603" s="21"/>
      <c r="T603" s="21"/>
    </row>
    <row r="604">
      <c r="L604" s="4"/>
      <c r="S604" s="21"/>
      <c r="T604" s="21"/>
    </row>
    <row r="605">
      <c r="L605" s="4"/>
      <c r="S605" s="21"/>
      <c r="T605" s="21"/>
    </row>
    <row r="606">
      <c r="L606" s="4"/>
      <c r="S606" s="21"/>
      <c r="T606" s="21"/>
    </row>
    <row r="607">
      <c r="L607" s="4"/>
      <c r="S607" s="21"/>
      <c r="T607" s="21"/>
    </row>
    <row r="608">
      <c r="L608" s="4"/>
      <c r="S608" s="21"/>
      <c r="T608" s="21"/>
    </row>
    <row r="609">
      <c r="L609" s="4"/>
      <c r="S609" s="21"/>
      <c r="T609" s="21"/>
    </row>
    <row r="610">
      <c r="L610" s="4"/>
      <c r="S610" s="21"/>
      <c r="T610" s="21"/>
    </row>
    <row r="611">
      <c r="L611" s="4"/>
      <c r="S611" s="21"/>
      <c r="T611" s="21"/>
    </row>
    <row r="612">
      <c r="L612" s="4"/>
      <c r="S612" s="21"/>
      <c r="T612" s="21"/>
    </row>
    <row r="613">
      <c r="L613" s="4"/>
      <c r="S613" s="21"/>
      <c r="T613" s="21"/>
    </row>
    <row r="614">
      <c r="L614" s="4"/>
      <c r="S614" s="21"/>
      <c r="T614" s="21"/>
    </row>
    <row r="615">
      <c r="L615" s="4"/>
      <c r="S615" s="21"/>
      <c r="T615" s="21"/>
    </row>
    <row r="616">
      <c r="L616" s="4"/>
      <c r="S616" s="21"/>
      <c r="T616" s="21"/>
    </row>
    <row r="617">
      <c r="L617" s="4"/>
      <c r="S617" s="21"/>
      <c r="T617" s="21"/>
    </row>
    <row r="618">
      <c r="L618" s="4"/>
      <c r="S618" s="21"/>
      <c r="T618" s="21"/>
    </row>
    <row r="619">
      <c r="L619" s="4"/>
      <c r="S619" s="21"/>
      <c r="T619" s="21"/>
    </row>
    <row r="620">
      <c r="L620" s="4"/>
      <c r="S620" s="21"/>
      <c r="T620" s="21"/>
    </row>
    <row r="621">
      <c r="L621" s="4"/>
      <c r="S621" s="21"/>
      <c r="T621" s="21"/>
    </row>
    <row r="622">
      <c r="L622" s="4"/>
      <c r="S622" s="21"/>
      <c r="T622" s="21"/>
    </row>
    <row r="623">
      <c r="L623" s="4"/>
      <c r="S623" s="21"/>
      <c r="T623" s="21"/>
    </row>
    <row r="624">
      <c r="L624" s="4"/>
      <c r="S624" s="21"/>
      <c r="T624" s="21"/>
    </row>
    <row r="625">
      <c r="L625" s="4"/>
      <c r="S625" s="21"/>
      <c r="T625" s="21"/>
    </row>
    <row r="626">
      <c r="L626" s="4"/>
      <c r="S626" s="21"/>
      <c r="T626" s="21"/>
    </row>
    <row r="627">
      <c r="L627" s="4"/>
      <c r="S627" s="21"/>
      <c r="T627" s="21"/>
    </row>
    <row r="628">
      <c r="L628" s="4"/>
      <c r="S628" s="21"/>
      <c r="T628" s="21"/>
    </row>
    <row r="629">
      <c r="L629" s="4"/>
      <c r="S629" s="21"/>
      <c r="T629" s="21"/>
    </row>
    <row r="630">
      <c r="L630" s="4"/>
      <c r="S630" s="21"/>
      <c r="T630" s="21"/>
    </row>
    <row r="631">
      <c r="L631" s="4"/>
      <c r="S631" s="21"/>
      <c r="T631" s="21"/>
    </row>
    <row r="632">
      <c r="L632" s="4"/>
      <c r="S632" s="21"/>
      <c r="T632" s="21"/>
    </row>
    <row r="633">
      <c r="L633" s="4"/>
      <c r="S633" s="21"/>
      <c r="T633" s="21"/>
    </row>
    <row r="634">
      <c r="L634" s="4"/>
      <c r="S634" s="21"/>
      <c r="T634" s="21"/>
    </row>
    <row r="635">
      <c r="L635" s="4"/>
      <c r="S635" s="21"/>
      <c r="T635" s="21"/>
    </row>
    <row r="636">
      <c r="L636" s="4"/>
      <c r="S636" s="21"/>
      <c r="T636" s="21"/>
    </row>
    <row r="637">
      <c r="L637" s="4"/>
      <c r="S637" s="21"/>
      <c r="T637" s="21"/>
    </row>
    <row r="638">
      <c r="L638" s="4"/>
      <c r="S638" s="21"/>
      <c r="T638" s="21"/>
    </row>
    <row r="639">
      <c r="L639" s="4"/>
      <c r="S639" s="21"/>
      <c r="T639" s="21"/>
    </row>
    <row r="640">
      <c r="L640" s="4"/>
      <c r="S640" s="21"/>
      <c r="T640" s="21"/>
    </row>
    <row r="641">
      <c r="L641" s="4"/>
      <c r="S641" s="21"/>
      <c r="T641" s="21"/>
    </row>
    <row r="642">
      <c r="L642" s="4"/>
      <c r="S642" s="21"/>
      <c r="T642" s="21"/>
    </row>
    <row r="643">
      <c r="L643" s="4"/>
      <c r="S643" s="21"/>
      <c r="T643" s="21"/>
    </row>
    <row r="644">
      <c r="L644" s="4"/>
      <c r="S644" s="21"/>
      <c r="T644" s="21"/>
    </row>
    <row r="645">
      <c r="L645" s="4"/>
      <c r="S645" s="21"/>
      <c r="T645" s="21"/>
    </row>
    <row r="646">
      <c r="L646" s="4"/>
      <c r="S646" s="21"/>
      <c r="T646" s="21"/>
    </row>
    <row r="647">
      <c r="L647" s="4"/>
      <c r="S647" s="21"/>
      <c r="T647" s="21"/>
    </row>
    <row r="648">
      <c r="L648" s="4"/>
      <c r="S648" s="21"/>
      <c r="T648" s="21"/>
    </row>
    <row r="649">
      <c r="L649" s="4"/>
      <c r="S649" s="21"/>
      <c r="T649" s="21"/>
    </row>
    <row r="650">
      <c r="L650" s="4"/>
      <c r="S650" s="21"/>
      <c r="T650" s="21"/>
    </row>
    <row r="651">
      <c r="L651" s="4"/>
      <c r="S651" s="21"/>
      <c r="T651" s="21"/>
    </row>
    <row r="652">
      <c r="L652" s="4"/>
      <c r="S652" s="21"/>
      <c r="T652" s="21"/>
    </row>
    <row r="653">
      <c r="L653" s="4"/>
      <c r="S653" s="21"/>
      <c r="T653" s="21"/>
    </row>
    <row r="654">
      <c r="L654" s="4"/>
      <c r="S654" s="21"/>
      <c r="T654" s="21"/>
    </row>
    <row r="655">
      <c r="L655" s="4"/>
      <c r="S655" s="21"/>
      <c r="T655" s="21"/>
    </row>
    <row r="656">
      <c r="L656" s="4"/>
      <c r="S656" s="21"/>
      <c r="T656" s="21"/>
    </row>
    <row r="657">
      <c r="L657" s="4"/>
      <c r="S657" s="21"/>
      <c r="T657" s="21"/>
    </row>
    <row r="658">
      <c r="L658" s="4"/>
      <c r="S658" s="21"/>
      <c r="T658" s="21"/>
    </row>
    <row r="659">
      <c r="L659" s="4"/>
      <c r="S659" s="21"/>
      <c r="T659" s="21"/>
    </row>
    <row r="660">
      <c r="L660" s="4"/>
      <c r="S660" s="21"/>
      <c r="T660" s="21"/>
    </row>
    <row r="661">
      <c r="L661" s="4"/>
      <c r="S661" s="21"/>
      <c r="T661" s="21"/>
    </row>
    <row r="662">
      <c r="L662" s="4"/>
      <c r="S662" s="21"/>
      <c r="T662" s="21"/>
    </row>
    <row r="663">
      <c r="L663" s="4"/>
      <c r="S663" s="21"/>
      <c r="T663" s="21"/>
    </row>
    <row r="664">
      <c r="L664" s="4"/>
      <c r="S664" s="21"/>
      <c r="T664" s="21"/>
    </row>
    <row r="665">
      <c r="L665" s="4"/>
      <c r="S665" s="21"/>
      <c r="T665" s="21"/>
    </row>
    <row r="666">
      <c r="L666" s="4"/>
      <c r="S666" s="21"/>
      <c r="T666" s="21"/>
    </row>
    <row r="667">
      <c r="L667" s="4"/>
      <c r="S667" s="21"/>
      <c r="T667" s="21"/>
    </row>
    <row r="668">
      <c r="L668" s="4"/>
      <c r="S668" s="21"/>
      <c r="T668" s="21"/>
    </row>
    <row r="669">
      <c r="L669" s="4"/>
      <c r="S669" s="21"/>
      <c r="T669" s="21"/>
    </row>
    <row r="670">
      <c r="L670" s="4"/>
      <c r="S670" s="21"/>
      <c r="T670" s="21"/>
    </row>
    <row r="671">
      <c r="L671" s="4"/>
      <c r="S671" s="21"/>
      <c r="T671" s="21"/>
    </row>
    <row r="672">
      <c r="L672" s="4"/>
      <c r="S672" s="21"/>
      <c r="T672" s="21"/>
    </row>
    <row r="673">
      <c r="L673" s="4"/>
      <c r="S673" s="21"/>
      <c r="T673" s="21"/>
    </row>
    <row r="674">
      <c r="L674" s="4"/>
      <c r="S674" s="21"/>
      <c r="T674" s="21"/>
    </row>
    <row r="675">
      <c r="L675" s="4"/>
      <c r="S675" s="21"/>
      <c r="T675" s="21"/>
    </row>
    <row r="676">
      <c r="L676" s="4"/>
      <c r="S676" s="21"/>
      <c r="T676" s="21"/>
    </row>
    <row r="677">
      <c r="L677" s="4"/>
      <c r="S677" s="21"/>
      <c r="T677" s="21"/>
    </row>
    <row r="678">
      <c r="L678" s="4"/>
      <c r="S678" s="21"/>
      <c r="T678" s="21"/>
    </row>
    <row r="679">
      <c r="L679" s="4"/>
      <c r="S679" s="21"/>
      <c r="T679" s="21"/>
    </row>
    <row r="680">
      <c r="L680" s="4"/>
      <c r="S680" s="21"/>
      <c r="T680" s="21"/>
    </row>
    <row r="681">
      <c r="L681" s="4"/>
      <c r="S681" s="21"/>
      <c r="T681" s="21"/>
    </row>
    <row r="682">
      <c r="L682" s="4"/>
      <c r="S682" s="21"/>
      <c r="T682" s="21"/>
    </row>
    <row r="683">
      <c r="L683" s="4"/>
      <c r="S683" s="21"/>
      <c r="T683" s="21"/>
    </row>
    <row r="684">
      <c r="L684" s="4"/>
      <c r="S684" s="21"/>
      <c r="T684" s="21"/>
    </row>
    <row r="685">
      <c r="L685" s="4"/>
      <c r="S685" s="21"/>
      <c r="T685" s="21"/>
    </row>
    <row r="686">
      <c r="L686" s="4"/>
      <c r="S686" s="21"/>
      <c r="T686" s="21"/>
    </row>
    <row r="687">
      <c r="L687" s="4"/>
      <c r="S687" s="21"/>
      <c r="T687" s="21"/>
    </row>
    <row r="688">
      <c r="L688" s="4"/>
      <c r="S688" s="21"/>
      <c r="T688" s="21"/>
    </row>
    <row r="689">
      <c r="L689" s="4"/>
      <c r="S689" s="21"/>
      <c r="T689" s="21"/>
    </row>
    <row r="690">
      <c r="L690" s="4"/>
      <c r="S690" s="21"/>
      <c r="T690" s="21"/>
    </row>
    <row r="691">
      <c r="L691" s="4"/>
      <c r="S691" s="21"/>
      <c r="T691" s="21"/>
    </row>
    <row r="692">
      <c r="L692" s="4"/>
      <c r="S692" s="21"/>
      <c r="T692" s="21"/>
    </row>
    <row r="693">
      <c r="L693" s="4"/>
      <c r="S693" s="21"/>
      <c r="T693" s="21"/>
    </row>
    <row r="694">
      <c r="L694" s="4"/>
      <c r="S694" s="21"/>
      <c r="T694" s="21"/>
    </row>
    <row r="695">
      <c r="L695" s="4"/>
      <c r="S695" s="21"/>
      <c r="T695" s="21"/>
    </row>
    <row r="696">
      <c r="L696" s="4"/>
      <c r="S696" s="21"/>
      <c r="T696" s="21"/>
    </row>
    <row r="697">
      <c r="L697" s="4"/>
      <c r="S697" s="21"/>
      <c r="T697" s="21"/>
    </row>
    <row r="698">
      <c r="L698" s="4"/>
      <c r="S698" s="21"/>
      <c r="T698" s="21"/>
    </row>
    <row r="699">
      <c r="L699" s="4"/>
      <c r="S699" s="21"/>
      <c r="T699" s="21"/>
    </row>
    <row r="700">
      <c r="L700" s="4"/>
      <c r="S700" s="21"/>
      <c r="T700" s="21"/>
    </row>
    <row r="701">
      <c r="L701" s="4"/>
      <c r="S701" s="21"/>
      <c r="T701" s="21"/>
    </row>
    <row r="702">
      <c r="L702" s="4"/>
      <c r="S702" s="21"/>
      <c r="T702" s="21"/>
    </row>
    <row r="703">
      <c r="L703" s="4"/>
      <c r="S703" s="21"/>
      <c r="T703" s="21"/>
    </row>
    <row r="704">
      <c r="L704" s="4"/>
      <c r="S704" s="21"/>
      <c r="T704" s="21"/>
    </row>
    <row r="705">
      <c r="L705" s="4"/>
      <c r="S705" s="21"/>
      <c r="T705" s="21"/>
    </row>
    <row r="706">
      <c r="L706" s="4"/>
      <c r="S706" s="21"/>
      <c r="T706" s="21"/>
    </row>
    <row r="707">
      <c r="L707" s="4"/>
      <c r="S707" s="21"/>
      <c r="T707" s="21"/>
    </row>
    <row r="708">
      <c r="L708" s="4"/>
      <c r="S708" s="21"/>
      <c r="T708" s="21"/>
    </row>
    <row r="709">
      <c r="L709" s="4"/>
      <c r="S709" s="21"/>
      <c r="T709" s="21"/>
    </row>
    <row r="710">
      <c r="L710" s="4"/>
      <c r="S710" s="21"/>
      <c r="T710" s="21"/>
    </row>
    <row r="711">
      <c r="L711" s="4"/>
      <c r="S711" s="21"/>
      <c r="T711" s="21"/>
    </row>
    <row r="712">
      <c r="L712" s="4"/>
      <c r="S712" s="21"/>
      <c r="T712" s="21"/>
    </row>
    <row r="713">
      <c r="L713" s="4"/>
      <c r="S713" s="21"/>
      <c r="T713" s="21"/>
    </row>
    <row r="714">
      <c r="L714" s="4"/>
      <c r="S714" s="21"/>
      <c r="T714" s="21"/>
    </row>
    <row r="715">
      <c r="L715" s="4"/>
      <c r="S715" s="21"/>
      <c r="T715" s="21"/>
    </row>
    <row r="716">
      <c r="L716" s="4"/>
      <c r="S716" s="21"/>
      <c r="T716" s="21"/>
    </row>
    <row r="717">
      <c r="L717" s="4"/>
      <c r="S717" s="21"/>
      <c r="T717" s="21"/>
    </row>
    <row r="718">
      <c r="L718" s="4"/>
      <c r="S718" s="21"/>
      <c r="T718" s="21"/>
    </row>
    <row r="719">
      <c r="L719" s="4"/>
      <c r="S719" s="21"/>
      <c r="T719" s="21"/>
    </row>
    <row r="720">
      <c r="L720" s="4"/>
      <c r="S720" s="21"/>
      <c r="T720" s="21"/>
    </row>
    <row r="721">
      <c r="L721" s="4"/>
      <c r="S721" s="21"/>
      <c r="T721" s="21"/>
    </row>
    <row r="722">
      <c r="L722" s="4"/>
      <c r="S722" s="21"/>
      <c r="T722" s="21"/>
    </row>
    <row r="723">
      <c r="L723" s="4"/>
      <c r="S723" s="21"/>
      <c r="T723" s="21"/>
    </row>
    <row r="724">
      <c r="L724" s="4"/>
      <c r="S724" s="21"/>
      <c r="T724" s="21"/>
    </row>
    <row r="725">
      <c r="L725" s="4"/>
      <c r="S725" s="21"/>
      <c r="T725" s="21"/>
    </row>
    <row r="726">
      <c r="L726" s="4"/>
      <c r="S726" s="21"/>
      <c r="T726" s="21"/>
    </row>
    <row r="727">
      <c r="L727" s="4"/>
      <c r="S727" s="21"/>
      <c r="T727" s="21"/>
    </row>
    <row r="728">
      <c r="L728" s="4"/>
      <c r="S728" s="21"/>
      <c r="T728" s="21"/>
    </row>
    <row r="729">
      <c r="L729" s="4"/>
      <c r="S729" s="21"/>
      <c r="T729" s="21"/>
    </row>
    <row r="730">
      <c r="L730" s="4"/>
      <c r="S730" s="21"/>
      <c r="T730" s="21"/>
    </row>
    <row r="731">
      <c r="L731" s="4"/>
      <c r="S731" s="21"/>
      <c r="T731" s="21"/>
    </row>
    <row r="732">
      <c r="L732" s="4"/>
      <c r="S732" s="21"/>
      <c r="T732" s="21"/>
    </row>
    <row r="733">
      <c r="L733" s="4"/>
      <c r="S733" s="21"/>
      <c r="T733" s="21"/>
    </row>
    <row r="734">
      <c r="L734" s="4"/>
      <c r="S734" s="21"/>
      <c r="T734" s="21"/>
    </row>
    <row r="735">
      <c r="L735" s="4"/>
      <c r="S735" s="21"/>
      <c r="T735" s="21"/>
    </row>
    <row r="736">
      <c r="L736" s="4"/>
      <c r="S736" s="21"/>
      <c r="T736" s="21"/>
    </row>
    <row r="737">
      <c r="L737" s="4"/>
      <c r="S737" s="21"/>
      <c r="T737" s="21"/>
    </row>
    <row r="738">
      <c r="L738" s="4"/>
      <c r="S738" s="21"/>
      <c r="T738" s="21"/>
    </row>
    <row r="739">
      <c r="L739" s="4"/>
      <c r="S739" s="21"/>
      <c r="T739" s="21"/>
    </row>
    <row r="740">
      <c r="L740" s="4"/>
      <c r="S740" s="21"/>
      <c r="T740" s="21"/>
    </row>
    <row r="741">
      <c r="L741" s="4"/>
      <c r="S741" s="21"/>
      <c r="T741" s="21"/>
    </row>
    <row r="742">
      <c r="L742" s="4"/>
      <c r="S742" s="21"/>
      <c r="T742" s="21"/>
    </row>
    <row r="743">
      <c r="L743" s="4"/>
      <c r="S743" s="21"/>
      <c r="T743" s="21"/>
    </row>
    <row r="744">
      <c r="L744" s="4"/>
      <c r="S744" s="21"/>
      <c r="T744" s="21"/>
    </row>
    <row r="745">
      <c r="L745" s="4"/>
      <c r="S745" s="21"/>
      <c r="T745" s="21"/>
    </row>
    <row r="746">
      <c r="L746" s="4"/>
      <c r="S746" s="21"/>
      <c r="T746" s="21"/>
    </row>
    <row r="747">
      <c r="L747" s="4"/>
      <c r="S747" s="21"/>
      <c r="T747" s="21"/>
    </row>
    <row r="748">
      <c r="L748" s="4"/>
      <c r="S748" s="21"/>
      <c r="T748" s="21"/>
    </row>
    <row r="749">
      <c r="L749" s="4"/>
      <c r="S749" s="21"/>
      <c r="T749" s="21"/>
    </row>
    <row r="750">
      <c r="L750" s="4"/>
      <c r="S750" s="21"/>
      <c r="T750" s="21"/>
    </row>
    <row r="751">
      <c r="L751" s="4"/>
      <c r="S751" s="21"/>
      <c r="T751" s="21"/>
    </row>
    <row r="752">
      <c r="L752" s="4"/>
      <c r="S752" s="21"/>
      <c r="T752" s="21"/>
    </row>
    <row r="753">
      <c r="L753" s="4"/>
      <c r="S753" s="21"/>
      <c r="T753" s="21"/>
    </row>
    <row r="754">
      <c r="L754" s="4"/>
      <c r="S754" s="21"/>
      <c r="T754" s="21"/>
    </row>
    <row r="755">
      <c r="L755" s="4"/>
      <c r="S755" s="21"/>
      <c r="T755" s="21"/>
    </row>
    <row r="756">
      <c r="L756" s="4"/>
      <c r="S756" s="21"/>
      <c r="T756" s="21"/>
    </row>
    <row r="757">
      <c r="L757" s="4"/>
      <c r="S757" s="21"/>
      <c r="T757" s="21"/>
    </row>
    <row r="758">
      <c r="L758" s="4"/>
      <c r="S758" s="21"/>
      <c r="T758" s="21"/>
    </row>
    <row r="759">
      <c r="L759" s="4"/>
      <c r="S759" s="21"/>
      <c r="T759" s="21"/>
    </row>
    <row r="760">
      <c r="L760" s="4"/>
      <c r="S760" s="21"/>
      <c r="T760" s="21"/>
    </row>
    <row r="761">
      <c r="L761" s="4"/>
      <c r="S761" s="21"/>
      <c r="T761" s="21"/>
    </row>
    <row r="762">
      <c r="L762" s="4"/>
      <c r="S762" s="21"/>
      <c r="T762" s="21"/>
    </row>
    <row r="763">
      <c r="L763" s="4"/>
      <c r="S763" s="21"/>
      <c r="T763" s="21"/>
    </row>
    <row r="764">
      <c r="L764" s="4"/>
      <c r="S764" s="21"/>
      <c r="T764" s="21"/>
    </row>
    <row r="765">
      <c r="L765" s="4"/>
      <c r="S765" s="21"/>
      <c r="T765" s="21"/>
    </row>
    <row r="766">
      <c r="L766" s="4"/>
      <c r="S766" s="21"/>
      <c r="T766" s="21"/>
    </row>
    <row r="767">
      <c r="L767" s="4"/>
      <c r="S767" s="21"/>
      <c r="T767" s="21"/>
    </row>
    <row r="768">
      <c r="L768" s="4"/>
      <c r="S768" s="21"/>
      <c r="T768" s="21"/>
    </row>
    <row r="769">
      <c r="L769" s="4"/>
      <c r="S769" s="21"/>
      <c r="T769" s="21"/>
    </row>
    <row r="770">
      <c r="L770" s="4"/>
      <c r="S770" s="21"/>
      <c r="T770" s="21"/>
    </row>
    <row r="771">
      <c r="L771" s="4"/>
      <c r="S771" s="21"/>
      <c r="T771" s="21"/>
    </row>
    <row r="772">
      <c r="L772" s="4"/>
      <c r="S772" s="21"/>
      <c r="T772" s="21"/>
    </row>
    <row r="773">
      <c r="L773" s="4"/>
      <c r="S773" s="21"/>
      <c r="T773" s="21"/>
    </row>
    <row r="774">
      <c r="L774" s="4"/>
      <c r="S774" s="21"/>
      <c r="T774" s="21"/>
    </row>
    <row r="775">
      <c r="L775" s="4"/>
      <c r="S775" s="21"/>
      <c r="T775" s="21"/>
    </row>
    <row r="776">
      <c r="L776" s="4"/>
      <c r="S776" s="21"/>
      <c r="T776" s="21"/>
    </row>
    <row r="777">
      <c r="L777" s="4"/>
      <c r="S777" s="21"/>
      <c r="T777" s="21"/>
    </row>
    <row r="778">
      <c r="L778" s="4"/>
      <c r="S778" s="21"/>
      <c r="T778" s="21"/>
    </row>
    <row r="779">
      <c r="L779" s="4"/>
      <c r="S779" s="21"/>
      <c r="T779" s="21"/>
    </row>
    <row r="780">
      <c r="L780" s="4"/>
      <c r="S780" s="21"/>
      <c r="T780" s="21"/>
    </row>
    <row r="781">
      <c r="L781" s="4"/>
      <c r="S781" s="21"/>
      <c r="T781" s="21"/>
    </row>
    <row r="782">
      <c r="L782" s="4"/>
      <c r="S782" s="21"/>
      <c r="T782" s="21"/>
    </row>
    <row r="783">
      <c r="L783" s="4"/>
      <c r="S783" s="21"/>
      <c r="T783" s="21"/>
    </row>
    <row r="784">
      <c r="L784" s="4"/>
      <c r="S784" s="21"/>
      <c r="T784" s="21"/>
    </row>
    <row r="785">
      <c r="L785" s="4"/>
      <c r="S785" s="21"/>
      <c r="T785" s="21"/>
    </row>
    <row r="786">
      <c r="L786" s="4"/>
      <c r="S786" s="21"/>
      <c r="T786" s="21"/>
    </row>
    <row r="787">
      <c r="L787" s="4"/>
      <c r="S787" s="21"/>
      <c r="T787" s="21"/>
    </row>
    <row r="788">
      <c r="L788" s="4"/>
      <c r="S788" s="21"/>
      <c r="T788" s="21"/>
    </row>
    <row r="789">
      <c r="L789" s="4"/>
      <c r="S789" s="21"/>
      <c r="T789" s="21"/>
    </row>
    <row r="790">
      <c r="L790" s="4"/>
      <c r="S790" s="21"/>
      <c r="T790" s="21"/>
    </row>
    <row r="791">
      <c r="L791" s="4"/>
      <c r="S791" s="21"/>
      <c r="T791" s="21"/>
    </row>
    <row r="792">
      <c r="L792" s="4"/>
      <c r="S792" s="21"/>
      <c r="T792" s="21"/>
    </row>
    <row r="793">
      <c r="L793" s="4"/>
      <c r="S793" s="21"/>
      <c r="T793" s="21"/>
    </row>
    <row r="794">
      <c r="L794" s="4"/>
      <c r="S794" s="21"/>
      <c r="T794" s="21"/>
    </row>
    <row r="795">
      <c r="L795" s="4"/>
      <c r="S795" s="21"/>
      <c r="T795" s="21"/>
    </row>
    <row r="796">
      <c r="L796" s="4"/>
      <c r="S796" s="21"/>
      <c r="T796" s="21"/>
    </row>
    <row r="797">
      <c r="L797" s="4"/>
      <c r="S797" s="21"/>
      <c r="T797" s="21"/>
    </row>
    <row r="798">
      <c r="L798" s="4"/>
      <c r="S798" s="21"/>
      <c r="T798" s="21"/>
    </row>
    <row r="799">
      <c r="L799" s="4"/>
      <c r="S799" s="21"/>
      <c r="T799" s="21"/>
    </row>
    <row r="800">
      <c r="L800" s="4"/>
      <c r="S800" s="21"/>
      <c r="T800" s="21"/>
    </row>
    <row r="801">
      <c r="L801" s="4"/>
      <c r="S801" s="21"/>
      <c r="T801" s="21"/>
    </row>
    <row r="802">
      <c r="L802" s="4"/>
      <c r="S802" s="21"/>
      <c r="T802" s="21"/>
    </row>
    <row r="803">
      <c r="L803" s="4"/>
      <c r="S803" s="21"/>
      <c r="T803" s="21"/>
    </row>
    <row r="804">
      <c r="L804" s="4"/>
      <c r="S804" s="21"/>
      <c r="T804" s="21"/>
    </row>
    <row r="805">
      <c r="L805" s="4"/>
      <c r="S805" s="21"/>
      <c r="T805" s="21"/>
    </row>
    <row r="806">
      <c r="L806" s="4"/>
      <c r="S806" s="21"/>
      <c r="T806" s="21"/>
    </row>
    <row r="807">
      <c r="L807" s="4"/>
      <c r="S807" s="21"/>
      <c r="T807" s="21"/>
    </row>
    <row r="808">
      <c r="L808" s="4"/>
      <c r="S808" s="21"/>
      <c r="T808" s="21"/>
    </row>
    <row r="809">
      <c r="L809" s="4"/>
      <c r="S809" s="21"/>
      <c r="T809" s="21"/>
    </row>
    <row r="810">
      <c r="L810" s="4"/>
      <c r="S810" s="21"/>
      <c r="T810" s="21"/>
    </row>
    <row r="811">
      <c r="L811" s="4"/>
      <c r="S811" s="21"/>
      <c r="T811" s="21"/>
    </row>
    <row r="812">
      <c r="L812" s="4"/>
      <c r="S812" s="21"/>
      <c r="T812" s="21"/>
    </row>
    <row r="813">
      <c r="L813" s="4"/>
      <c r="S813" s="21"/>
      <c r="T813" s="21"/>
    </row>
    <row r="814">
      <c r="L814" s="4"/>
      <c r="S814" s="21"/>
      <c r="T814" s="21"/>
    </row>
    <row r="815">
      <c r="L815" s="4"/>
      <c r="S815" s="21"/>
      <c r="T815" s="21"/>
    </row>
    <row r="816">
      <c r="L816" s="4"/>
      <c r="S816" s="21"/>
      <c r="T816" s="21"/>
    </row>
    <row r="817">
      <c r="L817" s="4"/>
      <c r="S817" s="21"/>
      <c r="T817" s="21"/>
    </row>
    <row r="818">
      <c r="L818" s="4"/>
      <c r="S818" s="21"/>
      <c r="T818" s="21"/>
    </row>
    <row r="819">
      <c r="L819" s="4"/>
      <c r="S819" s="21"/>
      <c r="T819" s="21"/>
    </row>
    <row r="820">
      <c r="L820" s="4"/>
      <c r="S820" s="21"/>
      <c r="T820" s="21"/>
    </row>
    <row r="821">
      <c r="L821" s="4"/>
      <c r="S821" s="21"/>
      <c r="T821" s="21"/>
    </row>
    <row r="822">
      <c r="L822" s="4"/>
      <c r="S822" s="21"/>
      <c r="T822" s="21"/>
    </row>
    <row r="823">
      <c r="L823" s="4"/>
      <c r="S823" s="21"/>
      <c r="T823" s="21"/>
    </row>
    <row r="824">
      <c r="L824" s="4"/>
      <c r="S824" s="21"/>
      <c r="T824" s="21"/>
    </row>
    <row r="825">
      <c r="L825" s="4"/>
      <c r="S825" s="21"/>
      <c r="T825" s="21"/>
    </row>
    <row r="826">
      <c r="L826" s="4"/>
      <c r="S826" s="21"/>
      <c r="T826" s="21"/>
    </row>
    <row r="827">
      <c r="L827" s="4"/>
      <c r="S827" s="21"/>
      <c r="T827" s="21"/>
    </row>
    <row r="828">
      <c r="L828" s="4"/>
      <c r="S828" s="21"/>
      <c r="T828" s="21"/>
    </row>
    <row r="829">
      <c r="L829" s="4"/>
      <c r="S829" s="21"/>
      <c r="T829" s="21"/>
    </row>
    <row r="830">
      <c r="L830" s="4"/>
      <c r="S830" s="21"/>
      <c r="T830" s="21"/>
    </row>
    <row r="831">
      <c r="L831" s="4"/>
      <c r="S831" s="21"/>
      <c r="T831" s="21"/>
    </row>
    <row r="832">
      <c r="L832" s="4"/>
      <c r="S832" s="21"/>
      <c r="T832" s="21"/>
    </row>
    <row r="833">
      <c r="L833" s="4"/>
      <c r="S833" s="21"/>
      <c r="T833" s="21"/>
    </row>
    <row r="834">
      <c r="L834" s="4"/>
      <c r="S834" s="21"/>
      <c r="T834" s="21"/>
    </row>
    <row r="835">
      <c r="L835" s="4"/>
      <c r="S835" s="21"/>
      <c r="T835" s="21"/>
    </row>
    <row r="836">
      <c r="L836" s="4"/>
      <c r="S836" s="21"/>
      <c r="T836" s="21"/>
    </row>
    <row r="837">
      <c r="L837" s="4"/>
      <c r="S837" s="21"/>
      <c r="T837" s="21"/>
    </row>
    <row r="838">
      <c r="L838" s="4"/>
      <c r="S838" s="21"/>
      <c r="T838" s="21"/>
    </row>
    <row r="839">
      <c r="L839" s="4"/>
      <c r="S839" s="21"/>
      <c r="T839" s="21"/>
    </row>
    <row r="840">
      <c r="L840" s="4"/>
      <c r="S840" s="21"/>
      <c r="T840" s="21"/>
    </row>
    <row r="841">
      <c r="L841" s="4"/>
      <c r="S841" s="21"/>
      <c r="T841" s="21"/>
    </row>
    <row r="842">
      <c r="L842" s="4"/>
      <c r="S842" s="21"/>
      <c r="T842" s="21"/>
    </row>
    <row r="843">
      <c r="L843" s="4"/>
      <c r="S843" s="21"/>
      <c r="T843" s="21"/>
    </row>
    <row r="844">
      <c r="L844" s="4"/>
      <c r="S844" s="21"/>
      <c r="T844" s="21"/>
    </row>
    <row r="845">
      <c r="L845" s="4"/>
      <c r="S845" s="21"/>
      <c r="T845" s="21"/>
    </row>
    <row r="846">
      <c r="L846" s="4"/>
      <c r="S846" s="21"/>
      <c r="T846" s="21"/>
    </row>
    <row r="847">
      <c r="L847" s="4"/>
      <c r="S847" s="21"/>
      <c r="T847" s="21"/>
    </row>
    <row r="848">
      <c r="L848" s="4"/>
      <c r="S848" s="21"/>
      <c r="T848" s="21"/>
    </row>
    <row r="849">
      <c r="L849" s="4"/>
      <c r="S849" s="21"/>
      <c r="T849" s="21"/>
    </row>
    <row r="850">
      <c r="L850" s="4"/>
      <c r="S850" s="21"/>
      <c r="T850" s="21"/>
    </row>
    <row r="851">
      <c r="L851" s="4"/>
      <c r="S851" s="21"/>
      <c r="T851" s="21"/>
    </row>
    <row r="852">
      <c r="L852" s="4"/>
      <c r="S852" s="21"/>
      <c r="T852" s="21"/>
    </row>
    <row r="853">
      <c r="L853" s="4"/>
      <c r="S853" s="21"/>
      <c r="T853" s="21"/>
    </row>
    <row r="854">
      <c r="L854" s="4"/>
      <c r="S854" s="21"/>
      <c r="T854" s="21"/>
    </row>
    <row r="855">
      <c r="L855" s="4"/>
      <c r="S855" s="21"/>
      <c r="T855" s="21"/>
    </row>
    <row r="856">
      <c r="L856" s="4"/>
      <c r="S856" s="21"/>
      <c r="T856" s="21"/>
    </row>
    <row r="857">
      <c r="L857" s="4"/>
      <c r="S857" s="21"/>
      <c r="T857" s="21"/>
    </row>
    <row r="858">
      <c r="L858" s="4"/>
      <c r="S858" s="21"/>
      <c r="T858" s="21"/>
    </row>
    <row r="859">
      <c r="L859" s="4"/>
      <c r="S859" s="21"/>
      <c r="T859" s="21"/>
    </row>
    <row r="860">
      <c r="L860" s="4"/>
      <c r="S860" s="21"/>
      <c r="T860" s="21"/>
    </row>
    <row r="861">
      <c r="L861" s="4"/>
      <c r="S861" s="21"/>
      <c r="T861" s="21"/>
    </row>
    <row r="862">
      <c r="L862" s="4"/>
      <c r="S862" s="21"/>
      <c r="T862" s="21"/>
    </row>
    <row r="863">
      <c r="L863" s="4"/>
      <c r="S863" s="21"/>
      <c r="T863" s="21"/>
    </row>
    <row r="864">
      <c r="L864" s="4"/>
      <c r="S864" s="21"/>
      <c r="T864" s="21"/>
    </row>
    <row r="865">
      <c r="L865" s="4"/>
      <c r="S865" s="21"/>
      <c r="T865" s="21"/>
    </row>
    <row r="866">
      <c r="L866" s="4"/>
      <c r="S866" s="21"/>
      <c r="T866" s="21"/>
    </row>
    <row r="867">
      <c r="L867" s="4"/>
      <c r="S867" s="21"/>
      <c r="T867" s="21"/>
    </row>
    <row r="868">
      <c r="L868" s="4"/>
      <c r="S868" s="21"/>
      <c r="T868" s="21"/>
    </row>
    <row r="869">
      <c r="L869" s="4"/>
      <c r="S869" s="21"/>
      <c r="T869" s="21"/>
    </row>
    <row r="870">
      <c r="L870" s="4"/>
      <c r="S870" s="21"/>
      <c r="T870" s="21"/>
    </row>
    <row r="871">
      <c r="L871" s="4"/>
      <c r="S871" s="21"/>
      <c r="T871" s="21"/>
    </row>
    <row r="872">
      <c r="L872" s="4"/>
      <c r="S872" s="21"/>
      <c r="T872" s="21"/>
    </row>
    <row r="873">
      <c r="L873" s="4"/>
      <c r="S873" s="21"/>
      <c r="T873" s="21"/>
    </row>
    <row r="874">
      <c r="L874" s="4"/>
      <c r="S874" s="21"/>
      <c r="T874" s="21"/>
    </row>
    <row r="875">
      <c r="L875" s="4"/>
      <c r="S875" s="21"/>
      <c r="T875" s="21"/>
    </row>
    <row r="876">
      <c r="L876" s="4"/>
      <c r="S876" s="21"/>
      <c r="T876" s="21"/>
    </row>
    <row r="877">
      <c r="L877" s="4"/>
      <c r="S877" s="21"/>
      <c r="T877" s="21"/>
    </row>
    <row r="878">
      <c r="L878" s="4"/>
      <c r="S878" s="21"/>
      <c r="T878" s="21"/>
    </row>
    <row r="879">
      <c r="L879" s="4"/>
      <c r="S879" s="21"/>
      <c r="T879" s="21"/>
    </row>
    <row r="880">
      <c r="L880" s="4"/>
      <c r="S880" s="21"/>
      <c r="T880" s="21"/>
    </row>
    <row r="881">
      <c r="L881" s="4"/>
      <c r="S881" s="21"/>
      <c r="T881" s="21"/>
    </row>
    <row r="882">
      <c r="L882" s="4"/>
      <c r="S882" s="21"/>
      <c r="T882" s="21"/>
    </row>
    <row r="883">
      <c r="L883" s="4"/>
      <c r="S883" s="21"/>
      <c r="T883" s="21"/>
    </row>
    <row r="884">
      <c r="L884" s="4"/>
      <c r="S884" s="21"/>
      <c r="T884" s="21"/>
    </row>
    <row r="885">
      <c r="L885" s="4"/>
      <c r="S885" s="21"/>
      <c r="T885" s="21"/>
    </row>
    <row r="886">
      <c r="L886" s="4"/>
      <c r="S886" s="21"/>
      <c r="T886" s="21"/>
    </row>
    <row r="887">
      <c r="L887" s="4"/>
      <c r="S887" s="21"/>
      <c r="T887" s="21"/>
    </row>
    <row r="888">
      <c r="L888" s="4"/>
      <c r="S888" s="21"/>
      <c r="T888" s="21"/>
    </row>
    <row r="889">
      <c r="L889" s="4"/>
      <c r="S889" s="21"/>
      <c r="T889" s="21"/>
    </row>
    <row r="890">
      <c r="L890" s="4"/>
      <c r="S890" s="21"/>
      <c r="T890" s="21"/>
    </row>
    <row r="891">
      <c r="L891" s="4"/>
      <c r="S891" s="21"/>
      <c r="T891" s="21"/>
    </row>
    <row r="892">
      <c r="L892" s="4"/>
      <c r="S892" s="21"/>
      <c r="T892" s="21"/>
    </row>
    <row r="893">
      <c r="L893" s="4"/>
      <c r="S893" s="21"/>
      <c r="T893" s="21"/>
    </row>
    <row r="894">
      <c r="L894" s="4"/>
      <c r="S894" s="21"/>
      <c r="T894" s="21"/>
    </row>
    <row r="895">
      <c r="L895" s="4"/>
      <c r="S895" s="21"/>
      <c r="T895" s="21"/>
    </row>
    <row r="896">
      <c r="L896" s="4"/>
      <c r="S896" s="21"/>
      <c r="T896" s="21"/>
    </row>
    <row r="897">
      <c r="L897" s="4"/>
      <c r="S897" s="21"/>
      <c r="T897" s="21"/>
    </row>
    <row r="898">
      <c r="L898" s="4"/>
      <c r="S898" s="21"/>
      <c r="T898" s="21"/>
    </row>
    <row r="899">
      <c r="L899" s="4"/>
      <c r="S899" s="21"/>
      <c r="T899" s="21"/>
    </row>
    <row r="900">
      <c r="L900" s="4"/>
      <c r="S900" s="21"/>
      <c r="T900" s="21"/>
    </row>
    <row r="901">
      <c r="L901" s="4"/>
      <c r="S901" s="21"/>
      <c r="T901" s="21"/>
    </row>
    <row r="902">
      <c r="L902" s="4"/>
      <c r="S902" s="21"/>
      <c r="T902" s="21"/>
    </row>
    <row r="903">
      <c r="L903" s="4"/>
      <c r="S903" s="21"/>
      <c r="T903" s="21"/>
    </row>
    <row r="904">
      <c r="L904" s="4"/>
      <c r="S904" s="21"/>
      <c r="T904" s="21"/>
    </row>
    <row r="905">
      <c r="L905" s="4"/>
      <c r="S905" s="21"/>
      <c r="T905" s="21"/>
    </row>
    <row r="906">
      <c r="L906" s="4"/>
      <c r="S906" s="21"/>
      <c r="T906" s="21"/>
    </row>
    <row r="907">
      <c r="L907" s="4"/>
      <c r="S907" s="21"/>
      <c r="T907" s="21"/>
    </row>
    <row r="908">
      <c r="L908" s="4"/>
      <c r="S908" s="21"/>
      <c r="T908" s="21"/>
    </row>
    <row r="909">
      <c r="L909" s="4"/>
      <c r="S909" s="21"/>
      <c r="T909" s="21"/>
    </row>
    <row r="910">
      <c r="L910" s="4"/>
      <c r="S910" s="21"/>
      <c r="T910" s="21"/>
    </row>
    <row r="911">
      <c r="L911" s="4"/>
      <c r="S911" s="21"/>
      <c r="T911" s="21"/>
    </row>
    <row r="912">
      <c r="L912" s="4"/>
      <c r="S912" s="21"/>
      <c r="T912" s="21"/>
    </row>
    <row r="913">
      <c r="L913" s="4"/>
      <c r="S913" s="21"/>
      <c r="T913" s="21"/>
    </row>
    <row r="914">
      <c r="L914" s="4"/>
      <c r="S914" s="21"/>
      <c r="T914" s="21"/>
    </row>
    <row r="915">
      <c r="L915" s="4"/>
      <c r="S915" s="21"/>
      <c r="T915" s="21"/>
    </row>
    <row r="916">
      <c r="L916" s="4"/>
      <c r="S916" s="21"/>
      <c r="T916" s="21"/>
    </row>
    <row r="917">
      <c r="L917" s="4"/>
      <c r="S917" s="21"/>
      <c r="T917" s="21"/>
    </row>
    <row r="918">
      <c r="L918" s="4"/>
      <c r="S918" s="21"/>
      <c r="T918" s="21"/>
    </row>
    <row r="919">
      <c r="L919" s="4"/>
      <c r="S919" s="21"/>
      <c r="T919" s="21"/>
    </row>
    <row r="920">
      <c r="L920" s="4"/>
      <c r="S920" s="21"/>
      <c r="T920" s="21"/>
    </row>
    <row r="921">
      <c r="L921" s="4"/>
      <c r="S921" s="21"/>
      <c r="T921" s="21"/>
    </row>
    <row r="922">
      <c r="L922" s="4"/>
      <c r="S922" s="21"/>
      <c r="T922" s="21"/>
    </row>
    <row r="923">
      <c r="L923" s="4"/>
      <c r="S923" s="21"/>
      <c r="T923" s="21"/>
    </row>
    <row r="924">
      <c r="L924" s="4"/>
      <c r="S924" s="21"/>
      <c r="T924" s="21"/>
    </row>
    <row r="925">
      <c r="L925" s="4"/>
      <c r="S925" s="21"/>
      <c r="T925" s="21"/>
    </row>
    <row r="926">
      <c r="L926" s="4"/>
      <c r="S926" s="21"/>
      <c r="T926" s="21"/>
    </row>
    <row r="927">
      <c r="L927" s="4"/>
      <c r="S927" s="21"/>
      <c r="T927" s="21"/>
    </row>
    <row r="928">
      <c r="L928" s="4"/>
      <c r="S928" s="21"/>
      <c r="T928" s="21"/>
    </row>
    <row r="929">
      <c r="L929" s="4"/>
      <c r="S929" s="21"/>
      <c r="T929" s="21"/>
    </row>
    <row r="930">
      <c r="L930" s="4"/>
      <c r="S930" s="21"/>
      <c r="T930" s="21"/>
    </row>
    <row r="931">
      <c r="L931" s="4"/>
      <c r="S931" s="21"/>
      <c r="T931" s="21"/>
    </row>
    <row r="932">
      <c r="L932" s="4"/>
      <c r="S932" s="21"/>
      <c r="T932" s="21"/>
    </row>
    <row r="933">
      <c r="L933" s="4"/>
      <c r="S933" s="21"/>
      <c r="T933" s="21"/>
    </row>
    <row r="934">
      <c r="L934" s="4"/>
      <c r="S934" s="21"/>
      <c r="T934" s="21"/>
    </row>
    <row r="935">
      <c r="L935" s="4"/>
      <c r="S935" s="21"/>
      <c r="T935" s="21"/>
    </row>
    <row r="936">
      <c r="L936" s="4"/>
      <c r="S936" s="21"/>
      <c r="T936" s="21"/>
    </row>
    <row r="937">
      <c r="L937" s="4"/>
      <c r="S937" s="21"/>
      <c r="T937" s="21"/>
    </row>
    <row r="938">
      <c r="L938" s="4"/>
      <c r="S938" s="21"/>
      <c r="T938" s="21"/>
    </row>
    <row r="939">
      <c r="L939" s="4"/>
      <c r="S939" s="21"/>
      <c r="T939" s="21"/>
    </row>
    <row r="940">
      <c r="L940" s="4"/>
      <c r="S940" s="21"/>
      <c r="T940" s="21"/>
    </row>
    <row r="941">
      <c r="L941" s="4"/>
      <c r="S941" s="21"/>
      <c r="T941" s="21"/>
    </row>
    <row r="942">
      <c r="L942" s="4"/>
      <c r="S942" s="21"/>
      <c r="T942" s="21"/>
    </row>
    <row r="943">
      <c r="L943" s="4"/>
      <c r="S943" s="21"/>
      <c r="T943" s="21"/>
    </row>
    <row r="944">
      <c r="L944" s="4"/>
      <c r="S944" s="21"/>
      <c r="T944" s="21"/>
    </row>
    <row r="945">
      <c r="L945" s="4"/>
      <c r="S945" s="21"/>
      <c r="T945" s="21"/>
    </row>
    <row r="946">
      <c r="L946" s="4"/>
      <c r="S946" s="21"/>
      <c r="T946" s="21"/>
    </row>
    <row r="947">
      <c r="L947" s="4"/>
      <c r="S947" s="21"/>
      <c r="T947" s="21"/>
    </row>
    <row r="948">
      <c r="L948" s="4"/>
      <c r="S948" s="21"/>
      <c r="T948" s="21"/>
    </row>
    <row r="949">
      <c r="L949" s="4"/>
      <c r="S949" s="21"/>
      <c r="T949" s="21"/>
    </row>
    <row r="950">
      <c r="L950" s="4"/>
      <c r="S950" s="21"/>
      <c r="T950" s="21"/>
    </row>
    <row r="951">
      <c r="L951" s="4"/>
      <c r="S951" s="21"/>
      <c r="T951" s="21"/>
    </row>
    <row r="952">
      <c r="L952" s="4"/>
      <c r="S952" s="21"/>
      <c r="T952" s="21"/>
    </row>
    <row r="953">
      <c r="L953" s="4"/>
      <c r="S953" s="21"/>
      <c r="T953" s="21"/>
    </row>
    <row r="954">
      <c r="L954" s="4"/>
      <c r="S954" s="21"/>
      <c r="T954" s="21"/>
    </row>
    <row r="955">
      <c r="L955" s="4"/>
      <c r="S955" s="21"/>
      <c r="T955" s="21"/>
    </row>
    <row r="956">
      <c r="L956" s="4"/>
      <c r="S956" s="21"/>
      <c r="T956" s="21"/>
    </row>
    <row r="957">
      <c r="L957" s="4"/>
      <c r="S957" s="21"/>
      <c r="T957" s="21"/>
    </row>
    <row r="958">
      <c r="L958" s="4"/>
      <c r="S958" s="21"/>
      <c r="T958" s="21"/>
    </row>
    <row r="959">
      <c r="L959" s="4"/>
      <c r="S959" s="21"/>
      <c r="T959" s="21"/>
    </row>
    <row r="960">
      <c r="L960" s="4"/>
      <c r="S960" s="21"/>
      <c r="T960" s="21"/>
    </row>
    <row r="961">
      <c r="L961" s="4"/>
      <c r="S961" s="21"/>
      <c r="T961" s="21"/>
    </row>
    <row r="962">
      <c r="L962" s="4"/>
      <c r="S962" s="21"/>
      <c r="T962" s="21"/>
    </row>
    <row r="963">
      <c r="L963" s="4"/>
      <c r="S963" s="21"/>
      <c r="T963" s="21"/>
    </row>
    <row r="964">
      <c r="L964" s="4"/>
      <c r="S964" s="21"/>
      <c r="T964" s="21"/>
    </row>
    <row r="965">
      <c r="L965" s="4"/>
      <c r="S965" s="21"/>
      <c r="T965" s="21"/>
    </row>
    <row r="966">
      <c r="L966" s="4"/>
      <c r="S966" s="21"/>
      <c r="T966" s="21"/>
    </row>
    <row r="967">
      <c r="L967" s="4"/>
      <c r="S967" s="21"/>
      <c r="T967" s="21"/>
    </row>
    <row r="968">
      <c r="L968" s="4"/>
      <c r="S968" s="21"/>
      <c r="T968" s="21"/>
    </row>
    <row r="969">
      <c r="L969" s="4"/>
      <c r="S969" s="21"/>
      <c r="T969" s="21"/>
    </row>
    <row r="970">
      <c r="L970" s="4"/>
      <c r="S970" s="21"/>
      <c r="T970" s="21"/>
    </row>
    <row r="971">
      <c r="L971" s="4"/>
      <c r="S971" s="21"/>
      <c r="T971" s="21"/>
    </row>
    <row r="972">
      <c r="L972" s="4"/>
      <c r="S972" s="21"/>
      <c r="T972" s="21"/>
    </row>
    <row r="973">
      <c r="L973" s="4"/>
      <c r="S973" s="21"/>
      <c r="T973" s="21"/>
    </row>
    <row r="974">
      <c r="L974" s="4"/>
      <c r="S974" s="21"/>
      <c r="T974" s="21"/>
    </row>
    <row r="975">
      <c r="L975" s="4"/>
      <c r="S975" s="21"/>
      <c r="T975" s="21"/>
    </row>
    <row r="976">
      <c r="L976" s="4"/>
      <c r="S976" s="21"/>
      <c r="T976" s="21"/>
    </row>
    <row r="977">
      <c r="L977" s="4"/>
      <c r="S977" s="21"/>
      <c r="T977" s="21"/>
    </row>
    <row r="978">
      <c r="L978" s="4"/>
      <c r="S978" s="21"/>
      <c r="T978" s="21"/>
    </row>
    <row r="979">
      <c r="L979" s="4"/>
      <c r="S979" s="21"/>
      <c r="T979" s="21"/>
    </row>
    <row r="980">
      <c r="L980" s="4"/>
      <c r="S980" s="21"/>
      <c r="T980" s="21"/>
    </row>
    <row r="981">
      <c r="L981" s="4"/>
      <c r="S981" s="21"/>
      <c r="T981" s="21"/>
    </row>
    <row r="982">
      <c r="L982" s="4"/>
      <c r="S982" s="21"/>
      <c r="T982" s="21"/>
    </row>
    <row r="983">
      <c r="L983" s="4"/>
      <c r="S983" s="21"/>
      <c r="T983" s="21"/>
    </row>
    <row r="984">
      <c r="L984" s="4"/>
      <c r="S984" s="21"/>
      <c r="T984" s="21"/>
    </row>
    <row r="985">
      <c r="L985" s="4"/>
      <c r="S985" s="21"/>
      <c r="T985" s="21"/>
    </row>
    <row r="986">
      <c r="L986" s="4"/>
      <c r="S986" s="21"/>
      <c r="T986" s="21"/>
    </row>
    <row r="987">
      <c r="L987" s="4"/>
      <c r="S987" s="21"/>
      <c r="T987" s="21"/>
    </row>
    <row r="988">
      <c r="L988" s="4"/>
      <c r="S988" s="21"/>
      <c r="T988" s="21"/>
    </row>
    <row r="989">
      <c r="L989" s="4"/>
      <c r="S989" s="21"/>
      <c r="T989" s="21"/>
    </row>
    <row r="990">
      <c r="L990" s="4"/>
      <c r="S990" s="21"/>
      <c r="T990" s="21"/>
    </row>
    <row r="991">
      <c r="L991" s="4"/>
      <c r="S991" s="21"/>
      <c r="T991" s="21"/>
    </row>
    <row r="992">
      <c r="L992" s="4"/>
      <c r="S992" s="21"/>
      <c r="T992" s="21"/>
    </row>
    <row r="993">
      <c r="L993" s="4"/>
      <c r="S993" s="21"/>
      <c r="T993" s="21"/>
    </row>
    <row r="994">
      <c r="L994" s="4"/>
      <c r="S994" s="21"/>
      <c r="T994" s="21"/>
    </row>
  </sheetData>
  <conditionalFormatting sqref="A2:N342">
    <cfRule type="expression" dxfId="0" priority="1">
      <formula>$O2="x"</formula>
    </cfRule>
  </conditionalFormatting>
  <dataValidations>
    <dataValidation type="list" allowBlank="1" showErrorMessage="1" sqref="L2:L994">
      <formula1>"101 - 250,101-250,10k+,11 - 500,11-50,1k-5k,2 - 10,251 - 500,251-500,501-1000,51 - 100,51-100,5k-10k,Faixa de vidas"</formula1>
    </dataValidation>
  </dataValidations>
  <hyperlinks>
    <hyperlink r:id="rId1" ref="N4"/>
    <hyperlink r:id="rId2" ref="N6"/>
    <hyperlink r:id="rId3" ref="N7"/>
    <hyperlink r:id="rId4" ref="N9"/>
    <hyperlink r:id="rId5" ref="N12"/>
    <hyperlink r:id="rId6" ref="N13"/>
    <hyperlink r:id="rId7" ref="N14"/>
    <hyperlink r:id="rId8" ref="N15"/>
    <hyperlink r:id="rId9" ref="N16"/>
    <hyperlink r:id="rId10" ref="N17"/>
    <hyperlink r:id="rId11" ref="N19"/>
    <hyperlink r:id="rId12" ref="N20"/>
    <hyperlink r:id="rId13" ref="N21"/>
    <hyperlink r:id="rId14" ref="N23"/>
    <hyperlink r:id="rId15" ref="N24"/>
    <hyperlink r:id="rId16" ref="N27"/>
    <hyperlink r:id="rId17" ref="N28"/>
    <hyperlink r:id="rId18" ref="A29"/>
    <hyperlink r:id="rId19" ref="N29"/>
    <hyperlink r:id="rId20" ref="N30"/>
    <hyperlink r:id="rId21" ref="N33"/>
    <hyperlink r:id="rId22" ref="N34"/>
    <hyperlink r:id="rId23" ref="N35"/>
    <hyperlink r:id="rId24" ref="N38"/>
    <hyperlink r:id="rId25" ref="N39"/>
    <hyperlink r:id="rId26" ref="N40"/>
    <hyperlink r:id="rId27" ref="N42"/>
    <hyperlink r:id="rId28" ref="N43"/>
    <hyperlink r:id="rId29" ref="N45"/>
    <hyperlink r:id="rId30" ref="N46"/>
    <hyperlink r:id="rId31" ref="A48"/>
    <hyperlink r:id="rId32" ref="N49"/>
    <hyperlink r:id="rId33" ref="A50"/>
    <hyperlink r:id="rId34" ref="N50"/>
    <hyperlink r:id="rId35" ref="N52"/>
    <hyperlink r:id="rId36" ref="N54"/>
    <hyperlink r:id="rId37" ref="N55"/>
    <hyperlink r:id="rId38" ref="N56"/>
    <hyperlink r:id="rId39" ref="N57"/>
    <hyperlink r:id="rId40" ref="N58"/>
    <hyperlink r:id="rId41" ref="N62"/>
    <hyperlink r:id="rId42" ref="N63"/>
    <hyperlink r:id="rId43" ref="N64"/>
    <hyperlink r:id="rId44" ref="N65"/>
    <hyperlink r:id="rId45" ref="N66"/>
    <hyperlink r:id="rId46" ref="N67"/>
    <hyperlink r:id="rId47" ref="N69"/>
    <hyperlink r:id="rId48" ref="N70"/>
    <hyperlink r:id="rId49" ref="N71"/>
    <hyperlink r:id="rId50" ref="N73"/>
    <hyperlink r:id="rId51" ref="N76"/>
    <hyperlink r:id="rId52" ref="N77"/>
    <hyperlink r:id="rId53" ref="N78"/>
    <hyperlink r:id="rId54" ref="N79"/>
    <hyperlink r:id="rId55" ref="N80"/>
    <hyperlink r:id="rId56" ref="N81"/>
    <hyperlink r:id="rId57" ref="N82"/>
    <hyperlink r:id="rId58" ref="N84"/>
    <hyperlink r:id="rId59" ref="N85"/>
    <hyperlink r:id="rId60" ref="N86"/>
    <hyperlink r:id="rId61" ref="N87"/>
    <hyperlink r:id="rId62" ref="N88"/>
    <hyperlink r:id="rId63" ref="N89"/>
    <hyperlink r:id="rId64" ref="N90"/>
    <hyperlink r:id="rId65" ref="N91"/>
    <hyperlink r:id="rId66" ref="N92"/>
    <hyperlink r:id="rId67" ref="N94"/>
    <hyperlink r:id="rId68" ref="N95"/>
    <hyperlink r:id="rId69" ref="N96"/>
    <hyperlink r:id="rId70" ref="N97"/>
    <hyperlink r:id="rId71" ref="N99"/>
    <hyperlink r:id="rId72" ref="N100"/>
    <hyperlink r:id="rId73" ref="N102"/>
    <hyperlink r:id="rId74" ref="N103"/>
    <hyperlink r:id="rId75" ref="N104"/>
    <hyperlink r:id="rId76" ref="N105"/>
    <hyperlink r:id="rId77" ref="N106"/>
    <hyperlink r:id="rId78" ref="N107"/>
    <hyperlink r:id="rId79" ref="N108"/>
    <hyperlink r:id="rId80" ref="N109"/>
    <hyperlink r:id="rId81" ref="N111"/>
    <hyperlink r:id="rId82" ref="N112"/>
    <hyperlink r:id="rId83" ref="N113"/>
    <hyperlink r:id="rId84" ref="N114"/>
    <hyperlink r:id="rId85" ref="N118"/>
    <hyperlink r:id="rId86" ref="N119"/>
    <hyperlink r:id="rId87" ref="N120"/>
    <hyperlink r:id="rId88" ref="N121"/>
    <hyperlink r:id="rId89" ref="N122"/>
    <hyperlink r:id="rId90" ref="N125"/>
    <hyperlink r:id="rId91" ref="N126"/>
    <hyperlink r:id="rId92" ref="N127"/>
    <hyperlink r:id="rId93" ref="N129"/>
    <hyperlink r:id="rId94" ref="M130"/>
    <hyperlink r:id="rId95" ref="N130"/>
    <hyperlink r:id="rId96" ref="N132"/>
    <hyperlink r:id="rId97" ref="N134"/>
    <hyperlink r:id="rId98" ref="N136"/>
    <hyperlink r:id="rId99" ref="N137"/>
    <hyperlink r:id="rId100" ref="N141"/>
    <hyperlink r:id="rId101" ref="N142"/>
    <hyperlink r:id="rId102" ref="N143"/>
    <hyperlink r:id="rId103" ref="N146"/>
    <hyperlink r:id="rId104" ref="N147"/>
    <hyperlink r:id="rId105" ref="N149"/>
    <hyperlink r:id="rId106" ref="N151"/>
    <hyperlink r:id="rId107" ref="N152"/>
    <hyperlink r:id="rId108" ref="N154"/>
    <hyperlink r:id="rId109" ref="N155"/>
    <hyperlink r:id="rId110" ref="N156"/>
    <hyperlink r:id="rId111" ref="N157"/>
    <hyperlink r:id="rId112" ref="N158"/>
    <hyperlink r:id="rId113" ref="N159"/>
    <hyperlink r:id="rId114" ref="N162"/>
    <hyperlink r:id="rId115" ref="N163"/>
    <hyperlink r:id="rId116" ref="N165"/>
    <hyperlink r:id="rId117" ref="N166"/>
    <hyperlink r:id="rId118" ref="N167"/>
    <hyperlink r:id="rId119" ref="N168"/>
    <hyperlink r:id="rId120" ref="N170"/>
    <hyperlink r:id="rId121" ref="N171"/>
    <hyperlink r:id="rId122" ref="N172"/>
    <hyperlink r:id="rId123" ref="N174"/>
    <hyperlink r:id="rId124" ref="N175"/>
    <hyperlink r:id="rId125" ref="N177"/>
    <hyperlink r:id="rId126" ref="N178"/>
    <hyperlink r:id="rId127" ref="N179"/>
    <hyperlink r:id="rId128" ref="N181"/>
    <hyperlink r:id="rId129" ref="N182"/>
    <hyperlink r:id="rId130" ref="N184"/>
    <hyperlink r:id="rId131" ref="N185"/>
    <hyperlink r:id="rId132" ref="N186"/>
    <hyperlink r:id="rId133" ref="N187"/>
    <hyperlink r:id="rId134" ref="N188"/>
    <hyperlink r:id="rId135" ref="N189"/>
    <hyperlink r:id="rId136" ref="N190"/>
    <hyperlink r:id="rId137" ref="N191"/>
    <hyperlink r:id="rId138" ref="N192"/>
    <hyperlink r:id="rId139" ref="N193"/>
    <hyperlink r:id="rId140" ref="N194"/>
    <hyperlink r:id="rId141" ref="N195"/>
    <hyperlink r:id="rId142" ref="N199"/>
    <hyperlink r:id="rId143" ref="N200"/>
    <hyperlink r:id="rId144" ref="N201"/>
    <hyperlink r:id="rId145" ref="N202"/>
    <hyperlink r:id="rId146" ref="N203"/>
    <hyperlink r:id="rId147" ref="N204"/>
    <hyperlink r:id="rId148" ref="N205"/>
    <hyperlink r:id="rId149" ref="N208"/>
    <hyperlink r:id="rId150" ref="N209"/>
    <hyperlink r:id="rId151" ref="N210"/>
    <hyperlink r:id="rId152" ref="N211"/>
    <hyperlink r:id="rId153" ref="N213"/>
    <hyperlink r:id="rId154" ref="N215"/>
    <hyperlink r:id="rId155" ref="N216"/>
    <hyperlink r:id="rId156" ref="N217"/>
    <hyperlink r:id="rId157" ref="N218"/>
    <hyperlink r:id="rId158" ref="N219"/>
    <hyperlink r:id="rId159" ref="A220"/>
    <hyperlink r:id="rId160" ref="N220"/>
    <hyperlink r:id="rId161" ref="N225"/>
    <hyperlink r:id="rId162" ref="N226"/>
    <hyperlink r:id="rId163" ref="N227"/>
    <hyperlink r:id="rId164" ref="N228"/>
    <hyperlink r:id="rId165" ref="N229"/>
    <hyperlink r:id="rId166" ref="N230"/>
    <hyperlink r:id="rId167" ref="A232"/>
    <hyperlink r:id="rId168" ref="N232"/>
    <hyperlink r:id="rId169" ref="N233"/>
    <hyperlink r:id="rId170" ref="N234"/>
    <hyperlink r:id="rId171" ref="N235"/>
    <hyperlink r:id="rId172" ref="N237"/>
    <hyperlink r:id="rId173" ref="N238"/>
    <hyperlink r:id="rId174" ref="N239"/>
    <hyperlink r:id="rId175" ref="N240"/>
    <hyperlink r:id="rId176" ref="N241"/>
    <hyperlink r:id="rId177" ref="A242"/>
    <hyperlink r:id="rId178" ref="N242"/>
    <hyperlink r:id="rId179" ref="N243"/>
    <hyperlink r:id="rId180" ref="N244"/>
    <hyperlink r:id="rId181" ref="N245"/>
    <hyperlink r:id="rId182" ref="N246"/>
    <hyperlink r:id="rId183" ref="N247"/>
    <hyperlink r:id="rId184" ref="A249"/>
    <hyperlink r:id="rId185" ref="N249"/>
    <hyperlink r:id="rId186" ref="N250"/>
    <hyperlink r:id="rId187" ref="N251"/>
    <hyperlink r:id="rId188" ref="N253"/>
    <hyperlink r:id="rId189" ref="N254"/>
    <hyperlink r:id="rId190" ref="N256"/>
    <hyperlink r:id="rId191" ref="N257"/>
    <hyperlink r:id="rId192" ref="N261"/>
    <hyperlink r:id="rId193" ref="N266"/>
    <hyperlink r:id="rId194" ref="N267"/>
    <hyperlink r:id="rId195" ref="A268"/>
    <hyperlink r:id="rId196" ref="N268"/>
    <hyperlink r:id="rId197" ref="N269"/>
    <hyperlink r:id="rId198" ref="N270"/>
    <hyperlink r:id="rId199" ref="N271"/>
    <hyperlink r:id="rId200" ref="N272"/>
    <hyperlink r:id="rId201" ref="N276"/>
    <hyperlink r:id="rId202" ref="N277"/>
    <hyperlink r:id="rId203" ref="N278"/>
    <hyperlink r:id="rId204" ref="N279"/>
    <hyperlink r:id="rId205" ref="N280"/>
    <hyperlink r:id="rId206" ref="N282"/>
    <hyperlink r:id="rId207" ref="N283"/>
    <hyperlink r:id="rId208" ref="N284"/>
    <hyperlink r:id="rId209" ref="N285"/>
    <hyperlink r:id="rId210" ref="N286"/>
    <hyperlink r:id="rId211" ref="N288"/>
    <hyperlink r:id="rId212" ref="N289"/>
    <hyperlink r:id="rId213" ref="N291"/>
    <hyperlink r:id="rId214" ref="N292"/>
    <hyperlink r:id="rId215" ref="N293"/>
    <hyperlink r:id="rId216" ref="N294"/>
    <hyperlink r:id="rId217" ref="N295"/>
    <hyperlink r:id="rId218" ref="N296"/>
    <hyperlink r:id="rId219" ref="N297"/>
    <hyperlink r:id="rId220" ref="N298"/>
    <hyperlink r:id="rId221" ref="N299"/>
    <hyperlink r:id="rId222" ref="N300"/>
    <hyperlink r:id="rId223" ref="N301"/>
    <hyperlink r:id="rId224" ref="N302"/>
    <hyperlink r:id="rId225" ref="N303"/>
    <hyperlink r:id="rId226" ref="N304"/>
    <hyperlink r:id="rId227" ref="N305"/>
    <hyperlink r:id="rId228" ref="N306"/>
    <hyperlink r:id="rId229" ref="N307"/>
    <hyperlink r:id="rId230" ref="N308"/>
    <hyperlink r:id="rId231" ref="N309"/>
    <hyperlink r:id="rId232" ref="N312"/>
    <hyperlink r:id="rId233" ref="N314"/>
    <hyperlink r:id="rId234" ref="N315"/>
    <hyperlink r:id="rId235" ref="N316"/>
    <hyperlink r:id="rId236" ref="N317"/>
    <hyperlink r:id="rId237" ref="N319"/>
    <hyperlink r:id="rId238" ref="N320"/>
    <hyperlink r:id="rId239" ref="N321"/>
    <hyperlink r:id="rId240" ref="N322"/>
    <hyperlink r:id="rId241" ref="N323"/>
    <hyperlink r:id="rId242" ref="N324"/>
    <hyperlink r:id="rId243" ref="N325"/>
    <hyperlink r:id="rId244" ref="N326"/>
    <hyperlink r:id="rId245" ref="N327"/>
    <hyperlink r:id="rId246" ref="N329"/>
    <hyperlink r:id="rId247" ref="N331"/>
    <hyperlink r:id="rId248" ref="N333"/>
    <hyperlink r:id="rId249" ref="N334"/>
    <hyperlink r:id="rId250" ref="N335"/>
    <hyperlink r:id="rId251" ref="N336"/>
    <hyperlink r:id="rId252" ref="N337"/>
    <hyperlink r:id="rId253" ref="N338"/>
    <hyperlink r:id="rId254" ref="N339"/>
    <hyperlink r:id="rId255" ref="N341"/>
    <hyperlink r:id="rId256" ref="N342"/>
  </hyperlinks>
  <drawing r:id="rId25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5.63"/>
    <col customWidth="1" min="10" max="10" width="10.38"/>
  </cols>
  <sheetData>
    <row r="1">
      <c r="A1" s="3" t="s">
        <v>1</v>
      </c>
      <c r="B1" s="3" t="s">
        <v>8</v>
      </c>
      <c r="C1" s="3" t="s">
        <v>14</v>
      </c>
      <c r="D1" s="5" t="s">
        <v>2</v>
      </c>
      <c r="E1" s="3" t="s">
        <v>22</v>
      </c>
      <c r="F1" s="3" t="s">
        <v>29</v>
      </c>
      <c r="G1" s="3" t="s">
        <v>31</v>
      </c>
      <c r="H1" s="1" t="s">
        <v>481</v>
      </c>
      <c r="I1" s="1" t="s">
        <v>482</v>
      </c>
      <c r="J1" s="1" t="s">
        <v>483</v>
      </c>
      <c r="K1" s="1" t="s">
        <v>484</v>
      </c>
      <c r="L1" s="1" t="s">
        <v>489</v>
      </c>
      <c r="M1" s="1" t="s">
        <v>490</v>
      </c>
      <c r="N1" s="24" t="s">
        <v>515</v>
      </c>
      <c r="O1" s="1" t="s">
        <v>519</v>
      </c>
      <c r="P1" s="25" t="s">
        <v>521</v>
      </c>
      <c r="Q1" s="25" t="s">
        <v>522</v>
      </c>
      <c r="R1" s="25" t="s">
        <v>523</v>
      </c>
      <c r="S1" s="25" t="s">
        <v>524</v>
      </c>
      <c r="T1" s="25" t="s">
        <v>525</v>
      </c>
      <c r="U1" s="26" t="s">
        <v>526</v>
      </c>
    </row>
    <row r="2">
      <c r="A2" s="3" t="s">
        <v>527</v>
      </c>
      <c r="B2" s="3" t="s">
        <v>59</v>
      </c>
      <c r="C2" s="3" t="s">
        <v>528</v>
      </c>
      <c r="D2" s="8" t="s">
        <v>52</v>
      </c>
      <c r="E2" s="7">
        <v>45168.0</v>
      </c>
      <c r="F2" s="20">
        <v>103000.0</v>
      </c>
      <c r="G2" s="20">
        <v>65000.0</v>
      </c>
      <c r="H2" s="5">
        <v>10.0</v>
      </c>
      <c r="I2" s="3" t="s">
        <v>496</v>
      </c>
      <c r="J2" s="3">
        <v>2021.0</v>
      </c>
      <c r="K2" s="23" t="s">
        <v>534</v>
      </c>
      <c r="N2" s="27">
        <f t="shared" ref="N2:N236" si="1">G2/F2</f>
        <v>0.6310679612</v>
      </c>
      <c r="O2" s="28"/>
      <c r="P2" s="4">
        <v>0.0</v>
      </c>
      <c r="Q2" s="4">
        <v>1.0</v>
      </c>
      <c r="R2" s="4">
        <v>0.0</v>
      </c>
      <c r="S2" s="4">
        <v>0.0</v>
      </c>
      <c r="T2" s="4">
        <v>0.0</v>
      </c>
      <c r="U2" s="4" t="s">
        <v>550</v>
      </c>
    </row>
    <row r="3">
      <c r="A3" s="3" t="s">
        <v>221</v>
      </c>
      <c r="B3" s="3" t="s">
        <v>38</v>
      </c>
      <c r="C3" s="3" t="s">
        <v>223</v>
      </c>
      <c r="D3" s="8" t="s">
        <v>52</v>
      </c>
      <c r="E3" s="7">
        <v>45832.0</v>
      </c>
      <c r="F3" s="20">
        <v>2306214.0</v>
      </c>
      <c r="G3" s="20">
        <v>108000.0</v>
      </c>
      <c r="H3" s="3">
        <v>31.0</v>
      </c>
      <c r="I3" s="3" t="s">
        <v>496</v>
      </c>
      <c r="J3" s="3">
        <v>2017.0</v>
      </c>
      <c r="K3" s="23" t="s">
        <v>553</v>
      </c>
      <c r="N3" s="27">
        <f t="shared" si="1"/>
        <v>0.0468299993</v>
      </c>
      <c r="O3" s="28"/>
      <c r="P3" s="4">
        <v>1.0</v>
      </c>
      <c r="Q3" s="4">
        <v>0.0</v>
      </c>
      <c r="R3" s="4">
        <v>1.0</v>
      </c>
      <c r="S3" s="4">
        <v>0.0</v>
      </c>
      <c r="T3" s="4">
        <v>2.0</v>
      </c>
      <c r="U3" s="4" t="s">
        <v>558</v>
      </c>
    </row>
    <row r="4">
      <c r="A4" s="3" t="s">
        <v>311</v>
      </c>
      <c r="B4" s="3" t="s">
        <v>38</v>
      </c>
      <c r="C4" s="3" t="s">
        <v>314</v>
      </c>
      <c r="D4" s="8" t="s">
        <v>52</v>
      </c>
      <c r="E4" s="7">
        <v>45027.0</v>
      </c>
      <c r="F4" s="20">
        <v>108000.0</v>
      </c>
      <c r="G4" s="20">
        <v>108000.0</v>
      </c>
      <c r="H4" s="3">
        <v>169.0</v>
      </c>
      <c r="I4" s="3" t="s">
        <v>514</v>
      </c>
      <c r="J4" s="3">
        <v>2016.0</v>
      </c>
      <c r="K4" s="23" t="s">
        <v>563</v>
      </c>
      <c r="N4" s="27">
        <f t="shared" si="1"/>
        <v>1</v>
      </c>
      <c r="O4" s="28">
        <v>6000000.0</v>
      </c>
      <c r="P4" s="4">
        <v>0.0</v>
      </c>
      <c r="Q4" s="4">
        <v>1.0</v>
      </c>
      <c r="R4" s="4">
        <v>0.0</v>
      </c>
      <c r="S4" s="4">
        <v>0.0</v>
      </c>
      <c r="T4" s="4">
        <v>1.0</v>
      </c>
      <c r="U4" s="4" t="s">
        <v>569</v>
      </c>
    </row>
    <row r="5">
      <c r="A5" s="3" t="s">
        <v>340</v>
      </c>
      <c r="B5" s="3" t="s">
        <v>59</v>
      </c>
      <c r="C5" s="3" t="s">
        <v>342</v>
      </c>
      <c r="D5" s="8" t="s">
        <v>52</v>
      </c>
      <c r="E5" s="7">
        <v>43132.0</v>
      </c>
      <c r="F5" s="20">
        <v>108000.0</v>
      </c>
      <c r="G5" s="20">
        <v>108000.0</v>
      </c>
      <c r="H5" s="3">
        <v>57.0</v>
      </c>
      <c r="I5" s="3" t="s">
        <v>538</v>
      </c>
      <c r="J5" s="3">
        <v>2007.0</v>
      </c>
      <c r="K5" s="23" t="s">
        <v>572</v>
      </c>
      <c r="N5" s="27">
        <f t="shared" si="1"/>
        <v>1</v>
      </c>
      <c r="O5" s="28">
        <v>2000000.0</v>
      </c>
      <c r="P5" s="4">
        <v>2.0</v>
      </c>
      <c r="Q5" s="4">
        <v>2.0</v>
      </c>
      <c r="R5" s="4">
        <v>1.0</v>
      </c>
      <c r="S5" s="4">
        <v>1.0</v>
      </c>
      <c r="T5" s="4">
        <v>1.0</v>
      </c>
      <c r="U5" s="4" t="s">
        <v>558</v>
      </c>
    </row>
    <row r="6">
      <c r="A6" s="3" t="s">
        <v>582</v>
      </c>
      <c r="B6" s="3" t="s">
        <v>59</v>
      </c>
      <c r="C6" s="3" t="s">
        <v>583</v>
      </c>
      <c r="D6" s="8" t="s">
        <v>52</v>
      </c>
      <c r="E6" s="7">
        <v>43753.0</v>
      </c>
      <c r="F6" s="20">
        <v>130000.0</v>
      </c>
      <c r="G6" s="20">
        <v>130000.0</v>
      </c>
      <c r="H6" s="4">
        <v>9.0</v>
      </c>
      <c r="I6" s="5" t="s">
        <v>584</v>
      </c>
      <c r="J6" s="3">
        <v>2017.0</v>
      </c>
      <c r="K6" s="23" t="s">
        <v>585</v>
      </c>
      <c r="N6" s="27">
        <f t="shared" si="1"/>
        <v>1</v>
      </c>
      <c r="O6" s="28"/>
      <c r="P6" s="4">
        <v>0.0</v>
      </c>
      <c r="Q6" s="4">
        <v>1.0</v>
      </c>
      <c r="R6" s="4">
        <v>1.0</v>
      </c>
      <c r="S6" s="4">
        <v>0.0</v>
      </c>
      <c r="T6" s="4">
        <v>1.0</v>
      </c>
      <c r="U6" s="4" t="s">
        <v>558</v>
      </c>
    </row>
    <row r="7">
      <c r="A7" s="3" t="s">
        <v>423</v>
      </c>
      <c r="B7" s="3" t="s">
        <v>59</v>
      </c>
      <c r="C7" s="3" t="s">
        <v>425</v>
      </c>
      <c r="D7" s="8" t="s">
        <v>52</v>
      </c>
      <c r="E7" s="7">
        <v>44294.0</v>
      </c>
      <c r="F7" s="20">
        <v>216000.0</v>
      </c>
      <c r="G7" s="20">
        <v>216000.0</v>
      </c>
      <c r="H7" s="4">
        <v>34.0</v>
      </c>
      <c r="I7" s="3" t="s">
        <v>496</v>
      </c>
      <c r="J7" s="3">
        <v>2019.0</v>
      </c>
      <c r="K7" s="23" t="s">
        <v>593</v>
      </c>
      <c r="N7" s="27">
        <f t="shared" si="1"/>
        <v>1</v>
      </c>
      <c r="O7" s="28"/>
      <c r="P7" s="4">
        <v>0.0</v>
      </c>
      <c r="Q7" s="4">
        <v>0.0</v>
      </c>
      <c r="R7" s="4">
        <v>0.0</v>
      </c>
      <c r="S7" s="4">
        <v>1.0</v>
      </c>
      <c r="T7" s="4">
        <v>1.0</v>
      </c>
      <c r="U7" s="4" t="s">
        <v>595</v>
      </c>
    </row>
    <row r="8">
      <c r="A8" s="3" t="s">
        <v>430</v>
      </c>
      <c r="B8" s="3" t="s">
        <v>59</v>
      </c>
      <c r="C8" s="3" t="s">
        <v>432</v>
      </c>
      <c r="D8" s="8" t="s">
        <v>52</v>
      </c>
      <c r="E8" s="7">
        <v>42064.0</v>
      </c>
      <c r="F8" s="20">
        <v>216000.0</v>
      </c>
      <c r="G8" s="20">
        <v>216000.0</v>
      </c>
      <c r="H8" s="4">
        <v>5.0</v>
      </c>
      <c r="I8" s="3" t="s">
        <v>496</v>
      </c>
      <c r="J8" s="3">
        <v>2015.0</v>
      </c>
      <c r="K8" s="23" t="s">
        <v>598</v>
      </c>
      <c r="N8" s="27">
        <f t="shared" si="1"/>
        <v>1</v>
      </c>
      <c r="O8" s="28">
        <v>322000.0</v>
      </c>
      <c r="P8" s="4">
        <v>0.0</v>
      </c>
      <c r="Q8" s="4">
        <v>0.0</v>
      </c>
      <c r="R8" s="4">
        <v>0.0</v>
      </c>
      <c r="S8" s="4">
        <v>1.0</v>
      </c>
      <c r="T8" s="4">
        <v>6.0</v>
      </c>
      <c r="U8" s="4" t="s">
        <v>558</v>
      </c>
    </row>
    <row r="9">
      <c r="A9" s="3" t="s">
        <v>440</v>
      </c>
      <c r="B9" s="3" t="s">
        <v>59</v>
      </c>
      <c r="C9" s="3" t="s">
        <v>442</v>
      </c>
      <c r="D9" s="8" t="s">
        <v>52</v>
      </c>
      <c r="E9" s="7">
        <v>41548.0</v>
      </c>
      <c r="F9" s="20">
        <v>788400.0</v>
      </c>
      <c r="G9" s="20">
        <v>248400.0</v>
      </c>
      <c r="H9" s="3">
        <v>35.0</v>
      </c>
      <c r="I9" s="3" t="s">
        <v>496</v>
      </c>
      <c r="J9" s="3">
        <v>2007.0</v>
      </c>
      <c r="K9" s="23" t="s">
        <v>606</v>
      </c>
      <c r="N9" s="27">
        <f t="shared" si="1"/>
        <v>0.3150684932</v>
      </c>
      <c r="O9" s="28">
        <v>2948000.0</v>
      </c>
      <c r="P9" s="4">
        <v>0.0</v>
      </c>
      <c r="Q9" s="4">
        <v>0.0</v>
      </c>
      <c r="R9" s="4">
        <v>1.0</v>
      </c>
      <c r="S9" s="4">
        <v>1.0</v>
      </c>
      <c r="T9" s="4">
        <v>4.0</v>
      </c>
      <c r="U9" s="4" t="s">
        <v>595</v>
      </c>
    </row>
    <row r="10">
      <c r="A10" s="3" t="s">
        <v>614</v>
      </c>
      <c r="B10" s="3" t="s">
        <v>59</v>
      </c>
      <c r="C10" s="3" t="s">
        <v>615</v>
      </c>
      <c r="D10" s="8" t="s">
        <v>48</v>
      </c>
      <c r="E10" s="7">
        <v>45667.0</v>
      </c>
      <c r="F10" s="20">
        <v>300000.0</v>
      </c>
      <c r="G10" s="20">
        <v>250000.0</v>
      </c>
      <c r="H10" s="5">
        <v>10.0</v>
      </c>
      <c r="I10" s="5" t="s">
        <v>584</v>
      </c>
      <c r="J10" s="3">
        <v>2024.0</v>
      </c>
      <c r="K10" s="23" t="s">
        <v>616</v>
      </c>
      <c r="N10" s="27">
        <f t="shared" si="1"/>
        <v>0.8333333333</v>
      </c>
      <c r="O10" s="28"/>
      <c r="P10" s="4">
        <v>1.0</v>
      </c>
      <c r="Q10" s="4">
        <v>1.0</v>
      </c>
      <c r="R10" s="4">
        <v>1.0</v>
      </c>
      <c r="S10" s="4">
        <v>2.0</v>
      </c>
      <c r="T10" s="4">
        <v>1.0</v>
      </c>
      <c r="U10" s="4" t="s">
        <v>558</v>
      </c>
    </row>
    <row r="11">
      <c r="A11" s="3" t="s">
        <v>623</v>
      </c>
      <c r="B11" s="3" t="s">
        <v>59</v>
      </c>
      <c r="C11" s="3" t="s">
        <v>624</v>
      </c>
      <c r="D11" s="8" t="s">
        <v>52</v>
      </c>
      <c r="E11" s="7">
        <v>45078.0</v>
      </c>
      <c r="F11" s="20">
        <v>406400.0</v>
      </c>
      <c r="G11" s="20">
        <v>300000.0</v>
      </c>
      <c r="H11" s="3">
        <v>61.0</v>
      </c>
      <c r="I11" s="3" t="s">
        <v>538</v>
      </c>
      <c r="J11" s="3">
        <v>2019.0</v>
      </c>
      <c r="K11" s="23" t="s">
        <v>627</v>
      </c>
      <c r="N11" s="27">
        <f t="shared" si="1"/>
        <v>0.7381889764</v>
      </c>
      <c r="O11" s="28"/>
      <c r="P11" s="4">
        <v>1.0</v>
      </c>
      <c r="Q11" s="4">
        <v>5.0</v>
      </c>
      <c r="R11" s="4">
        <v>6.0</v>
      </c>
      <c r="S11" s="4">
        <v>0.0</v>
      </c>
      <c r="T11" s="4">
        <v>4.0</v>
      </c>
      <c r="U11" s="4" t="s">
        <v>550</v>
      </c>
    </row>
    <row r="12">
      <c r="A12" s="3" t="s">
        <v>462</v>
      </c>
      <c r="B12" s="3" t="s">
        <v>59</v>
      </c>
      <c r="C12" s="3" t="s">
        <v>463</v>
      </c>
      <c r="D12" s="8" t="s">
        <v>52</v>
      </c>
      <c r="E12" s="7">
        <v>43524.0</v>
      </c>
      <c r="F12" s="20">
        <v>324000.0</v>
      </c>
      <c r="G12" s="20">
        <v>324000.0</v>
      </c>
      <c r="H12" s="3">
        <v>47.0</v>
      </c>
      <c r="I12" s="3" t="s">
        <v>496</v>
      </c>
      <c r="J12" s="3">
        <v>2017.0</v>
      </c>
      <c r="K12" s="23" t="s">
        <v>636</v>
      </c>
      <c r="N12" s="27">
        <f t="shared" si="1"/>
        <v>1</v>
      </c>
      <c r="O12" s="28"/>
      <c r="P12" s="4">
        <v>0.0</v>
      </c>
      <c r="Q12" s="4">
        <v>0.0</v>
      </c>
      <c r="R12" s="4">
        <v>0.0</v>
      </c>
      <c r="S12" s="4">
        <v>1.0</v>
      </c>
      <c r="T12" s="4">
        <v>3.0</v>
      </c>
      <c r="U12" s="4" t="s">
        <v>569</v>
      </c>
    </row>
    <row r="13">
      <c r="A13" s="3" t="s">
        <v>465</v>
      </c>
      <c r="B13" s="3" t="s">
        <v>59</v>
      </c>
      <c r="C13" s="3" t="s">
        <v>466</v>
      </c>
      <c r="D13" s="8" t="s">
        <v>52</v>
      </c>
      <c r="E13" s="7">
        <v>41820.0</v>
      </c>
      <c r="F13" s="20">
        <v>324000.0</v>
      </c>
      <c r="G13" s="20">
        <v>324000.0</v>
      </c>
      <c r="H13" s="3">
        <v>4.0</v>
      </c>
      <c r="I13" s="3" t="s">
        <v>584</v>
      </c>
      <c r="J13" s="3">
        <v>2014.0</v>
      </c>
      <c r="K13" s="23" t="s">
        <v>645</v>
      </c>
      <c r="N13" s="27">
        <f t="shared" si="1"/>
        <v>1</v>
      </c>
      <c r="O13" s="28"/>
      <c r="P13" s="4">
        <v>1.0</v>
      </c>
      <c r="Q13" s="4">
        <v>0.0</v>
      </c>
      <c r="R13" s="4">
        <v>1.0</v>
      </c>
      <c r="S13" s="4">
        <v>0.0</v>
      </c>
      <c r="T13" s="4">
        <v>1.0</v>
      </c>
      <c r="U13" s="4" t="s">
        <v>558</v>
      </c>
    </row>
    <row r="14">
      <c r="A14" s="3" t="s">
        <v>651</v>
      </c>
      <c r="B14" s="3" t="s">
        <v>59</v>
      </c>
      <c r="C14" s="3" t="s">
        <v>652</v>
      </c>
      <c r="D14" s="8" t="s">
        <v>48</v>
      </c>
      <c r="E14" s="7">
        <v>43831.0</v>
      </c>
      <c r="F14" s="20">
        <v>735093.0</v>
      </c>
      <c r="G14" s="20">
        <v>400000.0</v>
      </c>
      <c r="H14" s="3">
        <v>19.0</v>
      </c>
      <c r="I14" s="3" t="s">
        <v>496</v>
      </c>
      <c r="J14" s="3">
        <v>2019.0</v>
      </c>
      <c r="K14" s="23" t="s">
        <v>654</v>
      </c>
      <c r="N14" s="27">
        <f t="shared" si="1"/>
        <v>0.5441488356</v>
      </c>
      <c r="O14" s="28"/>
      <c r="P14" s="4">
        <v>0.0</v>
      </c>
      <c r="Q14" s="4">
        <v>1.0</v>
      </c>
      <c r="R14" s="4">
        <v>0.0</v>
      </c>
      <c r="S14" s="4">
        <v>2.0</v>
      </c>
      <c r="T14" s="4">
        <v>0.0</v>
      </c>
      <c r="U14" s="4" t="s">
        <v>558</v>
      </c>
    </row>
    <row r="15">
      <c r="A15" s="3" t="s">
        <v>661</v>
      </c>
      <c r="B15" s="3" t="s">
        <v>38</v>
      </c>
      <c r="C15" s="3" t="s">
        <v>663</v>
      </c>
      <c r="D15" s="8" t="s">
        <v>48</v>
      </c>
      <c r="E15" s="7">
        <v>46077.0</v>
      </c>
      <c r="F15" s="20">
        <v>1021880.0</v>
      </c>
      <c r="G15" s="20">
        <v>486000.0</v>
      </c>
      <c r="H15" s="5">
        <v>56.0</v>
      </c>
      <c r="I15" s="3" t="s">
        <v>538</v>
      </c>
      <c r="J15" s="5">
        <v>2016.0</v>
      </c>
      <c r="K15" s="29" t="s">
        <v>667</v>
      </c>
      <c r="N15" s="27">
        <f t="shared" si="1"/>
        <v>0.4755940032</v>
      </c>
      <c r="O15" s="28"/>
      <c r="P15" s="4">
        <v>1.0</v>
      </c>
      <c r="Q15" s="4">
        <v>4.0</v>
      </c>
      <c r="R15" s="4">
        <v>4.0</v>
      </c>
      <c r="S15" s="4">
        <v>1.0</v>
      </c>
      <c r="T15" s="4">
        <v>3.0</v>
      </c>
      <c r="U15" s="4" t="s">
        <v>558</v>
      </c>
    </row>
    <row r="16">
      <c r="A16" s="3" t="s">
        <v>678</v>
      </c>
      <c r="B16" s="3" t="s">
        <v>76</v>
      </c>
      <c r="C16" s="3" t="s">
        <v>682</v>
      </c>
      <c r="D16" s="8" t="s">
        <v>52</v>
      </c>
      <c r="E16" s="7">
        <v>45311.0</v>
      </c>
      <c r="F16" s="20">
        <v>500000.0</v>
      </c>
      <c r="G16" s="20">
        <v>500000.0</v>
      </c>
      <c r="H16" s="5">
        <v>10.0</v>
      </c>
      <c r="I16" s="5" t="s">
        <v>584</v>
      </c>
      <c r="J16" s="3">
        <v>2023.0</v>
      </c>
      <c r="K16" s="23" t="s">
        <v>683</v>
      </c>
      <c r="N16" s="27">
        <f t="shared" si="1"/>
        <v>1</v>
      </c>
      <c r="O16" s="28"/>
      <c r="P16" s="4">
        <v>0.0</v>
      </c>
      <c r="Q16" s="4">
        <v>1.0</v>
      </c>
      <c r="R16" s="4">
        <v>0.0</v>
      </c>
      <c r="S16" s="4">
        <v>0.0</v>
      </c>
      <c r="T16" s="4">
        <v>2.0</v>
      </c>
      <c r="U16" s="4" t="s">
        <v>595</v>
      </c>
    </row>
    <row r="17">
      <c r="A17" s="3" t="s">
        <v>474</v>
      </c>
      <c r="B17" s="3" t="s">
        <v>59</v>
      </c>
      <c r="C17" s="3" t="s">
        <v>475</v>
      </c>
      <c r="D17" s="8" t="s">
        <v>52</v>
      </c>
      <c r="E17" s="7">
        <v>44918.0</v>
      </c>
      <c r="F17" s="20">
        <v>3996000.0</v>
      </c>
      <c r="G17" s="20">
        <v>540000.0</v>
      </c>
      <c r="H17" s="3">
        <v>8.0</v>
      </c>
      <c r="I17" s="3" t="s">
        <v>584</v>
      </c>
      <c r="J17" s="3">
        <v>2013.0</v>
      </c>
      <c r="K17" s="23" t="s">
        <v>696</v>
      </c>
      <c r="N17" s="27">
        <f t="shared" si="1"/>
        <v>0.1351351351</v>
      </c>
      <c r="O17" s="28"/>
      <c r="P17" s="4">
        <v>1.0</v>
      </c>
      <c r="Q17" s="4">
        <v>0.0</v>
      </c>
      <c r="R17" s="4">
        <v>0.0</v>
      </c>
      <c r="S17" s="4">
        <v>0.0</v>
      </c>
      <c r="T17" s="4">
        <v>0.0</v>
      </c>
      <c r="U17" s="4" t="s">
        <v>558</v>
      </c>
    </row>
    <row r="18">
      <c r="A18" s="3" t="s">
        <v>477</v>
      </c>
      <c r="B18" s="3" t="s">
        <v>59</v>
      </c>
      <c r="C18" s="3" t="s">
        <v>478</v>
      </c>
      <c r="D18" s="8" t="s">
        <v>52</v>
      </c>
      <c r="E18" s="7">
        <v>43451.0</v>
      </c>
      <c r="F18" s="20">
        <v>540000.0</v>
      </c>
      <c r="G18" s="20">
        <v>540000.0</v>
      </c>
      <c r="H18" s="3">
        <v>35.0</v>
      </c>
      <c r="I18" s="3" t="s">
        <v>496</v>
      </c>
      <c r="J18" s="3">
        <v>2017.0</v>
      </c>
      <c r="K18" s="23" t="s">
        <v>706</v>
      </c>
      <c r="N18" s="27">
        <f t="shared" si="1"/>
        <v>1</v>
      </c>
      <c r="O18" s="28"/>
      <c r="P18" s="4">
        <v>1.0</v>
      </c>
      <c r="Q18" s="4">
        <v>1.0</v>
      </c>
      <c r="R18" s="4">
        <v>0.0</v>
      </c>
      <c r="S18" s="4">
        <v>0.0</v>
      </c>
      <c r="T18" s="4">
        <v>0.0</v>
      </c>
      <c r="U18" s="4" t="s">
        <v>558</v>
      </c>
    </row>
    <row r="19">
      <c r="A19" s="3" t="s">
        <v>719</v>
      </c>
      <c r="B19" s="3" t="s">
        <v>59</v>
      </c>
      <c r="C19" s="3" t="s">
        <v>720</v>
      </c>
      <c r="D19" s="8" t="s">
        <v>48</v>
      </c>
      <c r="E19" s="7">
        <v>45623.0</v>
      </c>
      <c r="F19" s="20">
        <v>576000.0</v>
      </c>
      <c r="G19" s="20">
        <v>576000.0</v>
      </c>
      <c r="H19" s="5">
        <v>22.0</v>
      </c>
      <c r="I19" s="3" t="s">
        <v>496</v>
      </c>
      <c r="J19" s="5">
        <v>2022.0</v>
      </c>
      <c r="K19" s="29" t="s">
        <v>722</v>
      </c>
      <c r="N19" s="27">
        <f t="shared" si="1"/>
        <v>1</v>
      </c>
      <c r="O19" s="28"/>
      <c r="P19" s="4">
        <v>1.0</v>
      </c>
      <c r="Q19" s="4">
        <v>0.0</v>
      </c>
      <c r="R19" s="4">
        <v>0.0</v>
      </c>
      <c r="S19" s="4">
        <v>0.0</v>
      </c>
      <c r="T19" s="4">
        <v>3.0</v>
      </c>
      <c r="U19" s="4" t="s">
        <v>595</v>
      </c>
    </row>
    <row r="20">
      <c r="A20" s="3" t="s">
        <v>730</v>
      </c>
      <c r="B20" s="3" t="s">
        <v>38</v>
      </c>
      <c r="C20" s="3" t="s">
        <v>731</v>
      </c>
      <c r="D20" s="8" t="s">
        <v>48</v>
      </c>
      <c r="E20" s="7">
        <v>45708.0</v>
      </c>
      <c r="F20" s="20">
        <v>576000.0</v>
      </c>
      <c r="G20" s="20">
        <v>576000.0</v>
      </c>
      <c r="H20" s="5">
        <v>97.0</v>
      </c>
      <c r="I20" s="3" t="s">
        <v>538</v>
      </c>
      <c r="J20" s="5">
        <v>2017.0</v>
      </c>
      <c r="K20" s="30" t="s">
        <v>733</v>
      </c>
      <c r="N20" s="27">
        <f t="shared" si="1"/>
        <v>1</v>
      </c>
      <c r="O20" s="28"/>
      <c r="P20" s="4">
        <v>1.0</v>
      </c>
      <c r="Q20" s="4">
        <v>1.0</v>
      </c>
      <c r="R20" s="4">
        <v>1.0</v>
      </c>
      <c r="S20" s="4">
        <v>2.0</v>
      </c>
      <c r="T20" s="4">
        <v>2.0</v>
      </c>
      <c r="U20" s="4" t="s">
        <v>569</v>
      </c>
    </row>
    <row r="21">
      <c r="A21" s="3" t="s">
        <v>491</v>
      </c>
      <c r="B21" s="3" t="s">
        <v>59</v>
      </c>
      <c r="C21" s="3" t="s">
        <v>492</v>
      </c>
      <c r="D21" s="8" t="s">
        <v>52</v>
      </c>
      <c r="E21" s="7">
        <v>43646.0</v>
      </c>
      <c r="F21" s="20">
        <v>864000.0</v>
      </c>
      <c r="G21" s="20">
        <v>648000.0</v>
      </c>
      <c r="H21" s="4">
        <v>7.0</v>
      </c>
      <c r="I21" s="5" t="s">
        <v>584</v>
      </c>
      <c r="J21" s="3">
        <v>2019.0</v>
      </c>
      <c r="K21" s="23" t="s">
        <v>745</v>
      </c>
      <c r="N21" s="27">
        <f t="shared" si="1"/>
        <v>0.75</v>
      </c>
      <c r="O21" s="28"/>
      <c r="P21" s="4">
        <v>0.0</v>
      </c>
      <c r="Q21" s="4">
        <v>0.0</v>
      </c>
      <c r="R21" s="4">
        <v>1.0</v>
      </c>
      <c r="S21" s="4">
        <v>1.0</v>
      </c>
      <c r="T21" s="4">
        <v>3.0</v>
      </c>
      <c r="U21" s="4" t="s">
        <v>595</v>
      </c>
    </row>
    <row r="22">
      <c r="A22" s="3" t="s">
        <v>493</v>
      </c>
      <c r="B22" s="3" t="s">
        <v>59</v>
      </c>
      <c r="C22" s="3" t="s">
        <v>494</v>
      </c>
      <c r="D22" s="8" t="s">
        <v>52</v>
      </c>
      <c r="E22" s="7">
        <v>43504.0</v>
      </c>
      <c r="F22" s="20">
        <v>648000.0</v>
      </c>
      <c r="G22" s="20">
        <v>648000.0</v>
      </c>
      <c r="H22" s="4">
        <v>5.0</v>
      </c>
      <c r="I22" s="5" t="s">
        <v>584</v>
      </c>
      <c r="J22" s="3">
        <v>2013.0</v>
      </c>
      <c r="K22" s="23" t="s">
        <v>753</v>
      </c>
      <c r="N22" s="27">
        <f t="shared" si="1"/>
        <v>1</v>
      </c>
      <c r="O22" s="28"/>
      <c r="P22" s="4">
        <v>1.0</v>
      </c>
      <c r="Q22" s="4">
        <v>0.0</v>
      </c>
      <c r="R22" s="4">
        <v>1.0</v>
      </c>
      <c r="S22" s="4">
        <v>1.0</v>
      </c>
      <c r="T22" s="4">
        <v>0.0</v>
      </c>
      <c r="U22" s="4" t="s">
        <v>569</v>
      </c>
    </row>
    <row r="23">
      <c r="A23" s="3" t="s">
        <v>757</v>
      </c>
      <c r="B23" s="3" t="s">
        <v>59</v>
      </c>
      <c r="C23" s="3" t="s">
        <v>759</v>
      </c>
      <c r="D23" s="8" t="s">
        <v>48</v>
      </c>
      <c r="E23" s="7">
        <v>45931.0</v>
      </c>
      <c r="F23" s="20">
        <v>1450000.0</v>
      </c>
      <c r="G23" s="20">
        <v>700000.0</v>
      </c>
      <c r="H23" s="3">
        <v>52.0</v>
      </c>
      <c r="I23" s="3" t="s">
        <v>496</v>
      </c>
      <c r="J23" s="3">
        <v>2022.0</v>
      </c>
      <c r="K23" s="23" t="s">
        <v>761</v>
      </c>
      <c r="N23" s="27">
        <f t="shared" si="1"/>
        <v>0.4827586207</v>
      </c>
      <c r="O23" s="28"/>
      <c r="P23" s="4">
        <v>0.0</v>
      </c>
      <c r="Q23" s="4">
        <v>1.0</v>
      </c>
      <c r="R23" s="4">
        <v>0.0</v>
      </c>
      <c r="S23" s="4">
        <v>2.0</v>
      </c>
      <c r="T23" s="4">
        <v>2.0</v>
      </c>
      <c r="U23" s="4" t="s">
        <v>595</v>
      </c>
    </row>
    <row r="24">
      <c r="A24" s="23" t="s">
        <v>750</v>
      </c>
      <c r="B24" s="3" t="s">
        <v>59</v>
      </c>
      <c r="C24" s="3" t="s">
        <v>498</v>
      </c>
      <c r="D24" s="8" t="s">
        <v>52</v>
      </c>
      <c r="E24" s="7">
        <v>41830.0</v>
      </c>
      <c r="F24" s="20">
        <v>702000.0</v>
      </c>
      <c r="G24" s="20">
        <v>702000.0</v>
      </c>
      <c r="H24" s="3">
        <v>70.0</v>
      </c>
      <c r="I24" s="3" t="s">
        <v>538</v>
      </c>
      <c r="J24" s="3">
        <v>2013.0</v>
      </c>
      <c r="K24" s="23" t="s">
        <v>773</v>
      </c>
      <c r="N24" s="27">
        <f t="shared" si="1"/>
        <v>1</v>
      </c>
      <c r="O24" s="28"/>
      <c r="P24" s="4">
        <v>0.0</v>
      </c>
      <c r="Q24" s="4">
        <v>1.0</v>
      </c>
      <c r="R24" s="4">
        <v>0.0</v>
      </c>
      <c r="S24" s="4">
        <v>3.0</v>
      </c>
      <c r="T24" s="4">
        <v>4.0</v>
      </c>
      <c r="U24" s="4" t="s">
        <v>595</v>
      </c>
    </row>
    <row r="25">
      <c r="A25" s="3" t="s">
        <v>779</v>
      </c>
      <c r="B25" s="3" t="s">
        <v>59</v>
      </c>
      <c r="C25" s="3" t="s">
        <v>780</v>
      </c>
      <c r="D25" s="8" t="s">
        <v>48</v>
      </c>
      <c r="E25" s="7">
        <v>43993.0</v>
      </c>
      <c r="F25" s="20">
        <v>720000.0</v>
      </c>
      <c r="G25" s="20">
        <v>720000.0</v>
      </c>
      <c r="H25" s="5">
        <v>649.0</v>
      </c>
      <c r="I25" s="3" t="s">
        <v>783</v>
      </c>
      <c r="J25" s="5">
        <v>2017.0</v>
      </c>
      <c r="K25" s="29" t="s">
        <v>784</v>
      </c>
      <c r="N25" s="27">
        <f t="shared" si="1"/>
        <v>1</v>
      </c>
      <c r="O25" s="28">
        <v>1.51E8</v>
      </c>
      <c r="P25" s="4">
        <v>0.0</v>
      </c>
      <c r="Q25" s="4">
        <v>3.0</v>
      </c>
      <c r="R25" s="4">
        <v>4.0</v>
      </c>
      <c r="S25" s="4">
        <v>2.0</v>
      </c>
      <c r="T25" s="4">
        <v>5.0</v>
      </c>
      <c r="U25" s="4" t="s">
        <v>550</v>
      </c>
    </row>
    <row r="26">
      <c r="A26" s="3" t="s">
        <v>787</v>
      </c>
      <c r="B26" s="3" t="s">
        <v>59</v>
      </c>
      <c r="C26" s="3" t="s">
        <v>788</v>
      </c>
      <c r="D26" s="8" t="s">
        <v>48</v>
      </c>
      <c r="E26" s="7">
        <v>45413.0</v>
      </c>
      <c r="F26" s="20">
        <v>1524198.0</v>
      </c>
      <c r="G26" s="20">
        <v>727363.0</v>
      </c>
      <c r="H26" s="5">
        <v>31.0</v>
      </c>
      <c r="I26" s="3" t="s">
        <v>496</v>
      </c>
      <c r="J26" s="5">
        <v>2014.0</v>
      </c>
      <c r="K26" s="15" t="s">
        <v>791</v>
      </c>
      <c r="N26" s="27">
        <f t="shared" si="1"/>
        <v>0.4772103099</v>
      </c>
      <c r="O26" s="28"/>
      <c r="P26" s="4">
        <v>1.0</v>
      </c>
      <c r="Q26" s="4">
        <v>0.0</v>
      </c>
      <c r="R26" s="4">
        <v>3.0</v>
      </c>
      <c r="S26" s="4">
        <v>0.0</v>
      </c>
      <c r="T26" s="4">
        <v>0.0</v>
      </c>
      <c r="U26" s="4" t="s">
        <v>558</v>
      </c>
    </row>
    <row r="27">
      <c r="A27" s="3" t="s">
        <v>798</v>
      </c>
      <c r="B27" s="3" t="s">
        <v>59</v>
      </c>
      <c r="C27" s="3" t="s">
        <v>799</v>
      </c>
      <c r="D27" s="8" t="s">
        <v>52</v>
      </c>
      <c r="E27" s="7">
        <v>43861.0</v>
      </c>
      <c r="F27" s="20">
        <v>1000000.0</v>
      </c>
      <c r="G27" s="20">
        <v>750000.0</v>
      </c>
      <c r="H27" s="4">
        <v>7.0</v>
      </c>
      <c r="I27" s="5" t="s">
        <v>584</v>
      </c>
      <c r="J27" s="3">
        <v>2017.0</v>
      </c>
      <c r="K27" s="23" t="s">
        <v>801</v>
      </c>
      <c r="N27" s="27">
        <f t="shared" si="1"/>
        <v>0.75</v>
      </c>
      <c r="O27" s="28"/>
      <c r="P27" s="4">
        <v>0.0</v>
      </c>
      <c r="Q27" s="4">
        <v>0.0</v>
      </c>
      <c r="R27" s="4">
        <v>0.0</v>
      </c>
      <c r="S27" s="4">
        <v>1.0</v>
      </c>
      <c r="T27" s="4">
        <v>1.0</v>
      </c>
      <c r="U27" s="4" t="s">
        <v>595</v>
      </c>
    </row>
    <row r="28">
      <c r="A28" s="3" t="s">
        <v>500</v>
      </c>
      <c r="B28" s="3" t="s">
        <v>59</v>
      </c>
      <c r="C28" s="3" t="s">
        <v>501</v>
      </c>
      <c r="D28" s="8" t="s">
        <v>52</v>
      </c>
      <c r="E28" s="7">
        <v>44864.0</v>
      </c>
      <c r="F28" s="20">
        <v>756000.0</v>
      </c>
      <c r="G28" s="20">
        <v>756000.0</v>
      </c>
      <c r="H28" s="4">
        <v>5.0</v>
      </c>
      <c r="I28" s="5" t="s">
        <v>584</v>
      </c>
      <c r="J28" s="3">
        <v>2013.0</v>
      </c>
      <c r="K28" s="23" t="s">
        <v>810</v>
      </c>
      <c r="N28" s="27">
        <f t="shared" si="1"/>
        <v>1</v>
      </c>
      <c r="O28" s="28">
        <v>377000.0</v>
      </c>
      <c r="P28" s="4">
        <v>2.0</v>
      </c>
      <c r="Q28" s="4">
        <v>0.0</v>
      </c>
      <c r="R28" s="4">
        <v>1.0</v>
      </c>
      <c r="S28" s="4">
        <v>0.0</v>
      </c>
      <c r="T28" s="4">
        <v>0.0</v>
      </c>
      <c r="U28" s="4" t="s">
        <v>569</v>
      </c>
    </row>
    <row r="29">
      <c r="A29" s="3" t="s">
        <v>509</v>
      </c>
      <c r="B29" s="3" t="s">
        <v>59</v>
      </c>
      <c r="C29" s="3" t="s">
        <v>510</v>
      </c>
      <c r="D29" s="8" t="s">
        <v>52</v>
      </c>
      <c r="E29" s="7">
        <v>44797.0</v>
      </c>
      <c r="F29" s="20">
        <v>831600.0</v>
      </c>
      <c r="G29" s="20">
        <v>831600.0</v>
      </c>
      <c r="H29" s="4">
        <v>7.0</v>
      </c>
      <c r="I29" s="5" t="s">
        <v>584</v>
      </c>
      <c r="J29" s="3">
        <v>2021.0</v>
      </c>
      <c r="K29" s="23" t="s">
        <v>821</v>
      </c>
      <c r="N29" s="27">
        <f t="shared" si="1"/>
        <v>1</v>
      </c>
      <c r="O29" s="28"/>
      <c r="P29" s="4">
        <v>1.0</v>
      </c>
      <c r="Q29" s="4">
        <v>0.0</v>
      </c>
      <c r="R29" s="4">
        <v>1.0</v>
      </c>
      <c r="S29" s="4">
        <v>0.0</v>
      </c>
      <c r="T29" s="4">
        <v>0.0</v>
      </c>
      <c r="U29" s="4" t="s">
        <v>558</v>
      </c>
    </row>
    <row r="30">
      <c r="A30" s="3" t="s">
        <v>511</v>
      </c>
      <c r="B30" s="3" t="s">
        <v>59</v>
      </c>
      <c r="C30" s="3" t="s">
        <v>512</v>
      </c>
      <c r="D30" s="8" t="s">
        <v>52</v>
      </c>
      <c r="E30" s="7">
        <v>44454.0</v>
      </c>
      <c r="F30" s="20">
        <v>1285200.0</v>
      </c>
      <c r="G30" s="20">
        <v>864000.0</v>
      </c>
      <c r="H30" s="4">
        <v>15.0</v>
      </c>
      <c r="I30" s="3" t="s">
        <v>496</v>
      </c>
      <c r="J30" s="3">
        <v>2017.0</v>
      </c>
      <c r="K30" s="23" t="s">
        <v>805</v>
      </c>
      <c r="N30" s="27">
        <f t="shared" si="1"/>
        <v>0.6722689076</v>
      </c>
      <c r="O30" s="28">
        <v>2300000.0</v>
      </c>
      <c r="P30" s="4">
        <v>1.0</v>
      </c>
      <c r="Q30" s="4">
        <v>0.0</v>
      </c>
      <c r="R30" s="4">
        <v>0.0</v>
      </c>
      <c r="S30" s="4">
        <v>1.0</v>
      </c>
      <c r="T30" s="4">
        <v>2.0</v>
      </c>
      <c r="U30" s="4" t="s">
        <v>558</v>
      </c>
    </row>
    <row r="31">
      <c r="A31" s="3" t="s">
        <v>834</v>
      </c>
      <c r="B31" s="3" t="s">
        <v>59</v>
      </c>
      <c r="C31" s="3" t="s">
        <v>835</v>
      </c>
      <c r="D31" s="8" t="s">
        <v>52</v>
      </c>
      <c r="E31" s="7">
        <v>44091.0</v>
      </c>
      <c r="F31" s="20">
        <v>875000.0</v>
      </c>
      <c r="G31" s="20">
        <v>875000.0</v>
      </c>
      <c r="H31" s="3">
        <v>18.0</v>
      </c>
      <c r="I31" s="3" t="s">
        <v>496</v>
      </c>
      <c r="J31" s="3">
        <v>2020.0</v>
      </c>
      <c r="K31" s="23" t="s">
        <v>838</v>
      </c>
      <c r="N31" s="27">
        <f t="shared" si="1"/>
        <v>1</v>
      </c>
      <c r="O31" s="28"/>
      <c r="P31" s="4">
        <v>0.0</v>
      </c>
      <c r="Q31" s="4">
        <v>0.0</v>
      </c>
      <c r="R31" s="4">
        <v>0.0</v>
      </c>
      <c r="S31" s="4">
        <v>0.0</v>
      </c>
      <c r="T31" s="4">
        <v>0.0</v>
      </c>
      <c r="U31" s="4" t="s">
        <v>550</v>
      </c>
    </row>
    <row r="32">
      <c r="A32" s="3" t="s">
        <v>843</v>
      </c>
      <c r="B32" s="3" t="s">
        <v>59</v>
      </c>
      <c r="C32" s="3" t="s">
        <v>844</v>
      </c>
      <c r="D32" s="8" t="s">
        <v>48</v>
      </c>
      <c r="E32" s="7">
        <v>45558.0</v>
      </c>
      <c r="F32" s="20">
        <v>3960000.0</v>
      </c>
      <c r="G32" s="20">
        <v>900000.0</v>
      </c>
      <c r="H32" s="5">
        <v>11.0</v>
      </c>
      <c r="I32" s="3" t="s">
        <v>496</v>
      </c>
      <c r="J32" s="5">
        <v>2020.0</v>
      </c>
      <c r="K32" s="29" t="s">
        <v>845</v>
      </c>
      <c r="N32" s="27">
        <f t="shared" si="1"/>
        <v>0.2272727273</v>
      </c>
      <c r="O32" s="28"/>
      <c r="P32" s="4">
        <v>1.0</v>
      </c>
      <c r="Q32" s="4">
        <v>1.0</v>
      </c>
      <c r="R32" s="4">
        <v>0.0</v>
      </c>
      <c r="S32" s="4">
        <v>0.0</v>
      </c>
      <c r="T32" s="4">
        <v>2.0</v>
      </c>
      <c r="U32" s="4" t="s">
        <v>558</v>
      </c>
    </row>
    <row r="33">
      <c r="A33" s="3" t="s">
        <v>517</v>
      </c>
      <c r="B33" s="3" t="s">
        <v>59</v>
      </c>
      <c r="C33" s="3" t="s">
        <v>518</v>
      </c>
      <c r="D33" s="8" t="s">
        <v>52</v>
      </c>
      <c r="E33" s="7">
        <v>44470.0</v>
      </c>
      <c r="F33" s="20">
        <v>3132000.0</v>
      </c>
      <c r="G33" s="20">
        <v>972000.0</v>
      </c>
      <c r="H33" s="4">
        <v>5.0</v>
      </c>
      <c r="I33" s="5" t="s">
        <v>584</v>
      </c>
      <c r="J33" s="3">
        <v>2018.0</v>
      </c>
      <c r="K33" s="23" t="s">
        <v>820</v>
      </c>
      <c r="N33" s="27">
        <f t="shared" si="1"/>
        <v>0.3103448276</v>
      </c>
      <c r="O33" s="28"/>
      <c r="P33" s="4">
        <v>1.0</v>
      </c>
      <c r="Q33" s="4">
        <v>1.0</v>
      </c>
      <c r="R33" s="4">
        <v>2.0</v>
      </c>
      <c r="S33" s="4">
        <v>0.0</v>
      </c>
      <c r="T33" s="4">
        <v>2.0</v>
      </c>
      <c r="U33" s="4" t="s">
        <v>595</v>
      </c>
    </row>
    <row r="34">
      <c r="A34" s="3" t="s">
        <v>656</v>
      </c>
      <c r="B34" s="3" t="s">
        <v>59</v>
      </c>
      <c r="C34" s="3" t="s">
        <v>657</v>
      </c>
      <c r="D34" s="8" t="s">
        <v>48</v>
      </c>
      <c r="E34" s="7">
        <v>45467.0</v>
      </c>
      <c r="F34" s="20">
        <v>1611770.0</v>
      </c>
      <c r="G34" s="20">
        <v>1000000.0</v>
      </c>
      <c r="H34" s="3">
        <v>178.0</v>
      </c>
      <c r="I34" s="3" t="s">
        <v>514</v>
      </c>
      <c r="J34" s="3">
        <v>2021.0</v>
      </c>
      <c r="K34" s="23" t="s">
        <v>864</v>
      </c>
      <c r="N34" s="27">
        <f t="shared" si="1"/>
        <v>0.6204359183</v>
      </c>
      <c r="O34" s="28"/>
      <c r="P34" s="4">
        <v>0.0</v>
      </c>
      <c r="Q34" s="4">
        <v>0.0</v>
      </c>
      <c r="R34" s="4">
        <v>0.0</v>
      </c>
      <c r="S34" s="4">
        <v>2.0</v>
      </c>
      <c r="T34" s="4">
        <v>5.0</v>
      </c>
      <c r="U34" s="4" t="s">
        <v>569</v>
      </c>
    </row>
    <row r="35">
      <c r="A35" s="3" t="s">
        <v>662</v>
      </c>
      <c r="B35" s="3" t="s">
        <v>38</v>
      </c>
      <c r="C35" s="3" t="s">
        <v>664</v>
      </c>
      <c r="D35" s="8" t="s">
        <v>48</v>
      </c>
      <c r="E35" s="7">
        <v>45632.0</v>
      </c>
      <c r="F35" s="20">
        <v>5600000.0</v>
      </c>
      <c r="G35" s="20">
        <v>1000000.0</v>
      </c>
      <c r="H35" s="3">
        <v>60.0</v>
      </c>
      <c r="I35" s="3" t="s">
        <v>538</v>
      </c>
      <c r="J35" s="3">
        <v>2019.0</v>
      </c>
      <c r="K35" s="23" t="s">
        <v>874</v>
      </c>
      <c r="N35" s="27">
        <f t="shared" si="1"/>
        <v>0.1785714286</v>
      </c>
      <c r="O35" s="28"/>
      <c r="P35" s="4">
        <v>0.0</v>
      </c>
      <c r="Q35" s="4">
        <v>1.0</v>
      </c>
      <c r="R35" s="4">
        <v>1.0</v>
      </c>
      <c r="S35" s="4">
        <v>0.0</v>
      </c>
      <c r="T35" s="4">
        <v>0.0</v>
      </c>
      <c r="U35" s="4" t="s">
        <v>550</v>
      </c>
    </row>
    <row r="36">
      <c r="A36" s="3" t="s">
        <v>668</v>
      </c>
      <c r="B36" s="3" t="s">
        <v>76</v>
      </c>
      <c r="C36" s="3" t="s">
        <v>669</v>
      </c>
      <c r="D36" s="8" t="s">
        <v>48</v>
      </c>
      <c r="E36" s="7">
        <v>45981.0</v>
      </c>
      <c r="F36" s="20">
        <v>1.6547191E7</v>
      </c>
      <c r="G36" s="20">
        <v>1000000.0</v>
      </c>
      <c r="H36" s="3">
        <v>68.0</v>
      </c>
      <c r="I36" s="3" t="s">
        <v>538</v>
      </c>
      <c r="J36" s="3">
        <v>2020.0</v>
      </c>
      <c r="K36" s="23" t="s">
        <v>882</v>
      </c>
      <c r="N36" s="27">
        <f t="shared" si="1"/>
        <v>0.06043321794</v>
      </c>
      <c r="O36" s="28"/>
      <c r="P36" s="4">
        <v>0.0</v>
      </c>
      <c r="Q36" s="4">
        <v>0.0</v>
      </c>
      <c r="R36" s="4">
        <v>0.0</v>
      </c>
      <c r="S36" s="4">
        <v>0.0</v>
      </c>
      <c r="T36" s="4">
        <v>3.0</v>
      </c>
      <c r="U36" s="4" t="s">
        <v>558</v>
      </c>
    </row>
    <row r="37">
      <c r="A37" s="3" t="s">
        <v>673</v>
      </c>
      <c r="B37" s="3" t="s">
        <v>59</v>
      </c>
      <c r="C37" s="3" t="s">
        <v>674</v>
      </c>
      <c r="D37" s="8" t="s">
        <v>52</v>
      </c>
      <c r="E37" s="7">
        <v>45352.0</v>
      </c>
      <c r="F37" s="20">
        <v>1300000.0</v>
      </c>
      <c r="G37" s="20">
        <v>1000000.0</v>
      </c>
      <c r="H37" s="4">
        <v>9.0</v>
      </c>
      <c r="I37" s="5" t="s">
        <v>584</v>
      </c>
      <c r="J37" s="3">
        <v>2023.0</v>
      </c>
      <c r="K37" s="23" t="s">
        <v>891</v>
      </c>
      <c r="N37" s="27">
        <f t="shared" si="1"/>
        <v>0.7692307692</v>
      </c>
      <c r="O37" s="28"/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 t="s">
        <v>569</v>
      </c>
    </row>
    <row r="38">
      <c r="A38" s="3" t="s">
        <v>677</v>
      </c>
      <c r="B38" s="3" t="s">
        <v>59</v>
      </c>
      <c r="C38" s="3" t="s">
        <v>679</v>
      </c>
      <c r="D38" s="8" t="s">
        <v>52</v>
      </c>
      <c r="E38" s="7">
        <v>44197.0</v>
      </c>
      <c r="F38" s="20">
        <v>1000000.0</v>
      </c>
      <c r="G38" s="20">
        <v>1000000.0</v>
      </c>
      <c r="H38" s="4">
        <v>43.0</v>
      </c>
      <c r="I38" s="5" t="s">
        <v>496</v>
      </c>
      <c r="J38" s="3">
        <v>2019.0</v>
      </c>
      <c r="K38" s="23" t="s">
        <v>898</v>
      </c>
      <c r="N38" s="27">
        <f t="shared" si="1"/>
        <v>1</v>
      </c>
      <c r="O38" s="28"/>
      <c r="P38" s="4">
        <v>1.0</v>
      </c>
      <c r="Q38" s="4">
        <v>1.0</v>
      </c>
      <c r="R38" s="4">
        <v>1.0</v>
      </c>
      <c r="S38" s="4">
        <v>1.0</v>
      </c>
      <c r="T38" s="4">
        <v>5.0</v>
      </c>
      <c r="U38" s="4" t="s">
        <v>558</v>
      </c>
    </row>
    <row r="39">
      <c r="A39" s="3" t="s">
        <v>689</v>
      </c>
      <c r="B39" s="3" t="s">
        <v>59</v>
      </c>
      <c r="C39" s="3" t="s">
        <v>690</v>
      </c>
      <c r="D39" s="8" t="s">
        <v>52</v>
      </c>
      <c r="E39" s="7">
        <v>44501.0</v>
      </c>
      <c r="F39" s="20">
        <v>3298430.0</v>
      </c>
      <c r="G39" s="20">
        <v>1043455.0</v>
      </c>
      <c r="H39" s="4">
        <v>5.0</v>
      </c>
      <c r="I39" s="5" t="s">
        <v>584</v>
      </c>
      <c r="J39" s="3">
        <v>2018.0</v>
      </c>
      <c r="K39" s="23" t="s">
        <v>820</v>
      </c>
      <c r="N39" s="27">
        <f t="shared" si="1"/>
        <v>0.3163489903</v>
      </c>
      <c r="O39" s="28"/>
      <c r="P39" s="4">
        <v>1.0</v>
      </c>
      <c r="Q39" s="4">
        <v>1.0</v>
      </c>
      <c r="R39" s="4">
        <v>2.0</v>
      </c>
      <c r="S39" s="4">
        <v>0.0</v>
      </c>
      <c r="T39" s="4">
        <v>2.0</v>
      </c>
      <c r="U39" s="4" t="s">
        <v>595</v>
      </c>
    </row>
    <row r="40">
      <c r="A40" s="3" t="s">
        <v>919</v>
      </c>
      <c r="B40" s="3" t="s">
        <v>59</v>
      </c>
      <c r="C40" s="3" t="s">
        <v>921</v>
      </c>
      <c r="D40" s="8" t="s">
        <v>52</v>
      </c>
      <c r="E40" s="7">
        <v>45770.0</v>
      </c>
      <c r="F40" s="20">
        <v>1080000.0</v>
      </c>
      <c r="G40" s="20">
        <v>1080000.0</v>
      </c>
      <c r="H40" s="3">
        <v>26.0</v>
      </c>
      <c r="I40" s="3" t="s">
        <v>496</v>
      </c>
      <c r="J40" s="3">
        <v>2024.0</v>
      </c>
      <c r="K40" s="23" t="s">
        <v>924</v>
      </c>
      <c r="N40" s="27">
        <f t="shared" si="1"/>
        <v>1</v>
      </c>
      <c r="O40" s="28"/>
      <c r="P40" s="4">
        <v>0.0</v>
      </c>
      <c r="Q40" s="4">
        <v>0.0</v>
      </c>
      <c r="R40" s="4">
        <v>0.0</v>
      </c>
      <c r="S40" s="4">
        <v>0.0</v>
      </c>
      <c r="T40" s="4">
        <v>0.0</v>
      </c>
      <c r="U40" s="4" t="s">
        <v>550</v>
      </c>
    </row>
    <row r="41">
      <c r="A41" s="3" t="s">
        <v>928</v>
      </c>
      <c r="B41" s="3" t="s">
        <v>38</v>
      </c>
      <c r="C41" s="3" t="s">
        <v>929</v>
      </c>
      <c r="D41" s="8" t="s">
        <v>52</v>
      </c>
      <c r="E41" s="7">
        <v>43920.0</v>
      </c>
      <c r="F41" s="20">
        <v>1080000.0</v>
      </c>
      <c r="G41" s="20">
        <v>1080000.0</v>
      </c>
      <c r="H41" s="3">
        <v>19.0</v>
      </c>
      <c r="I41" s="3" t="s">
        <v>496</v>
      </c>
      <c r="J41" s="3">
        <v>2015.0</v>
      </c>
      <c r="K41" s="23" t="s">
        <v>931</v>
      </c>
      <c r="N41" s="27">
        <f t="shared" si="1"/>
        <v>1</v>
      </c>
      <c r="O41" s="28"/>
      <c r="P41" s="4">
        <v>1.0</v>
      </c>
      <c r="Q41" s="4">
        <v>0.0</v>
      </c>
      <c r="R41" s="4">
        <v>3.0</v>
      </c>
      <c r="S41" s="4">
        <v>0.0</v>
      </c>
      <c r="T41" s="4">
        <v>0.0</v>
      </c>
      <c r="U41" s="4" t="s">
        <v>558</v>
      </c>
    </row>
    <row r="42">
      <c r="A42" s="3" t="s">
        <v>937</v>
      </c>
      <c r="B42" s="3" t="s">
        <v>59</v>
      </c>
      <c r="C42" s="3" t="s">
        <v>940</v>
      </c>
      <c r="D42" s="8" t="s">
        <v>52</v>
      </c>
      <c r="E42" s="7">
        <v>41844.0</v>
      </c>
      <c r="F42" s="20">
        <v>1080000.0</v>
      </c>
      <c r="G42" s="20">
        <v>1080000.0</v>
      </c>
      <c r="H42" s="3">
        <v>36.0</v>
      </c>
      <c r="I42" s="3" t="s">
        <v>496</v>
      </c>
      <c r="J42" s="3">
        <v>2009.0</v>
      </c>
      <c r="K42" s="23" t="s">
        <v>941</v>
      </c>
      <c r="N42" s="27">
        <f t="shared" si="1"/>
        <v>1</v>
      </c>
      <c r="O42" s="28"/>
      <c r="P42" s="4">
        <v>0.0</v>
      </c>
      <c r="Q42" s="4">
        <v>0.0</v>
      </c>
      <c r="R42" s="4">
        <v>1.0</v>
      </c>
      <c r="S42" s="4">
        <v>0.0</v>
      </c>
      <c r="T42" s="4">
        <v>1.0</v>
      </c>
      <c r="U42" s="4" t="s">
        <v>558</v>
      </c>
    </row>
    <row r="43">
      <c r="A43" s="3" t="s">
        <v>950</v>
      </c>
      <c r="B43" s="3" t="s">
        <v>59</v>
      </c>
      <c r="C43" s="3" t="s">
        <v>951</v>
      </c>
      <c r="D43" s="8" t="s">
        <v>52</v>
      </c>
      <c r="E43" s="7">
        <v>43495.0</v>
      </c>
      <c r="F43" s="20">
        <v>1198800.0</v>
      </c>
      <c r="G43" s="20">
        <v>1198800.0</v>
      </c>
      <c r="H43" s="3">
        <v>39.0</v>
      </c>
      <c r="I43" s="3" t="s">
        <v>496</v>
      </c>
      <c r="J43" s="3">
        <v>2011.0</v>
      </c>
      <c r="K43" s="23" t="s">
        <v>953</v>
      </c>
      <c r="N43" s="27">
        <f t="shared" si="1"/>
        <v>1</v>
      </c>
      <c r="O43" s="28"/>
      <c r="P43" s="4">
        <v>2.0</v>
      </c>
      <c r="Q43" s="4">
        <v>0.0</v>
      </c>
      <c r="R43" s="4">
        <v>0.0</v>
      </c>
      <c r="S43" s="4">
        <v>1.0</v>
      </c>
      <c r="T43" s="4">
        <v>1.0</v>
      </c>
      <c r="U43" s="4" t="s">
        <v>558</v>
      </c>
    </row>
    <row r="44">
      <c r="A44" s="3" t="s">
        <v>693</v>
      </c>
      <c r="B44" s="3" t="s">
        <v>38</v>
      </c>
      <c r="C44" s="3" t="s">
        <v>694</v>
      </c>
      <c r="D44" s="8" t="s">
        <v>48</v>
      </c>
      <c r="E44" s="7">
        <v>45355.0</v>
      </c>
      <c r="F44" s="20">
        <v>1200000.0</v>
      </c>
      <c r="G44" s="20">
        <v>1200000.0</v>
      </c>
      <c r="H44" s="3">
        <v>27.0</v>
      </c>
      <c r="I44" s="3" t="s">
        <v>496</v>
      </c>
      <c r="J44" s="3">
        <v>2017.0</v>
      </c>
      <c r="K44" s="23" t="s">
        <v>961</v>
      </c>
      <c r="N44" s="27">
        <f t="shared" si="1"/>
        <v>1</v>
      </c>
      <c r="O44" s="28"/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 t="s">
        <v>550</v>
      </c>
    </row>
    <row r="45">
      <c r="A45" s="3" t="s">
        <v>697</v>
      </c>
      <c r="B45" s="3" t="s">
        <v>59</v>
      </c>
      <c r="C45" s="3" t="s">
        <v>698</v>
      </c>
      <c r="D45" s="8" t="s">
        <v>52</v>
      </c>
      <c r="E45" s="7">
        <v>44078.0</v>
      </c>
      <c r="F45" s="20">
        <v>1250000.0</v>
      </c>
      <c r="G45" s="20">
        <v>1250000.0</v>
      </c>
      <c r="H45" s="4">
        <v>2.0</v>
      </c>
      <c r="I45" s="3" t="s">
        <v>496</v>
      </c>
      <c r="J45" s="3">
        <v>2015.0</v>
      </c>
      <c r="K45" s="23" t="s">
        <v>967</v>
      </c>
      <c r="N45" s="27">
        <f t="shared" si="1"/>
        <v>1</v>
      </c>
      <c r="O45" s="28"/>
      <c r="P45" s="4">
        <v>0.0</v>
      </c>
      <c r="Q45" s="4">
        <v>1.0</v>
      </c>
      <c r="R45" s="4">
        <v>0.0</v>
      </c>
      <c r="S45" s="4">
        <v>0.0</v>
      </c>
      <c r="T45" s="4">
        <v>0.0</v>
      </c>
      <c r="U45" s="4" t="s">
        <v>558</v>
      </c>
    </row>
    <row r="46">
      <c r="A46" s="3" t="s">
        <v>974</v>
      </c>
      <c r="B46" s="3" t="s">
        <v>59</v>
      </c>
      <c r="C46" s="3" t="s">
        <v>975</v>
      </c>
      <c r="D46" s="8" t="s">
        <v>48</v>
      </c>
      <c r="E46" s="7">
        <v>44560.0</v>
      </c>
      <c r="F46" s="20">
        <v>1500000.0</v>
      </c>
      <c r="G46" s="20">
        <v>1260000.0</v>
      </c>
      <c r="H46" s="5">
        <v>442.0</v>
      </c>
      <c r="I46" s="3" t="s">
        <v>905</v>
      </c>
      <c r="J46" s="5">
        <v>2018.0</v>
      </c>
      <c r="K46" s="15" t="s">
        <v>978</v>
      </c>
      <c r="N46" s="27">
        <f t="shared" si="1"/>
        <v>0.84</v>
      </c>
      <c r="O46" s="28"/>
      <c r="P46" s="4">
        <v>1.0</v>
      </c>
      <c r="Q46" s="4">
        <v>1.0</v>
      </c>
      <c r="R46" s="4">
        <v>3.0</v>
      </c>
      <c r="S46" s="4">
        <v>2.0</v>
      </c>
      <c r="T46" s="4">
        <v>4.0</v>
      </c>
      <c r="U46" s="4" t="s">
        <v>569</v>
      </c>
    </row>
    <row r="47">
      <c r="A47" s="3" t="s">
        <v>985</v>
      </c>
      <c r="B47" s="3" t="s">
        <v>38</v>
      </c>
      <c r="C47" s="3" t="s">
        <v>986</v>
      </c>
      <c r="D47" s="8" t="s">
        <v>48</v>
      </c>
      <c r="E47" s="7">
        <v>45329.0</v>
      </c>
      <c r="F47" s="20">
        <v>1260000.0</v>
      </c>
      <c r="G47" s="20">
        <v>1260000.0</v>
      </c>
      <c r="H47" s="5">
        <v>47.0</v>
      </c>
      <c r="I47" s="3" t="s">
        <v>496</v>
      </c>
      <c r="J47" s="5">
        <v>2017.0</v>
      </c>
      <c r="K47" s="29" t="s">
        <v>987</v>
      </c>
      <c r="N47" s="27">
        <f t="shared" si="1"/>
        <v>1</v>
      </c>
      <c r="O47" s="28"/>
      <c r="P47" s="4">
        <v>0.0</v>
      </c>
      <c r="Q47" s="4">
        <v>1.0</v>
      </c>
      <c r="R47" s="4">
        <v>0.0</v>
      </c>
      <c r="S47" s="4">
        <v>0.0</v>
      </c>
      <c r="T47" s="4">
        <v>0.0</v>
      </c>
      <c r="U47" s="4" t="s">
        <v>595</v>
      </c>
    </row>
    <row r="48">
      <c r="A48" s="3" t="s">
        <v>997</v>
      </c>
      <c r="B48" s="3" t="s">
        <v>59</v>
      </c>
      <c r="C48" s="3" t="s">
        <v>998</v>
      </c>
      <c r="D48" s="8" t="s">
        <v>52</v>
      </c>
      <c r="E48" s="7">
        <v>45689.0</v>
      </c>
      <c r="F48" s="20">
        <v>1296000.0</v>
      </c>
      <c r="G48" s="20">
        <v>1296000.0</v>
      </c>
      <c r="H48" s="3">
        <v>12.0</v>
      </c>
      <c r="I48" s="3" t="s">
        <v>496</v>
      </c>
      <c r="J48" s="3">
        <v>2022.0</v>
      </c>
      <c r="K48" s="23" t="s">
        <v>999</v>
      </c>
      <c r="N48" s="27">
        <f t="shared" si="1"/>
        <v>1</v>
      </c>
      <c r="O48" s="28"/>
      <c r="P48" s="4">
        <v>2.0</v>
      </c>
      <c r="Q48" s="4">
        <v>2.0</v>
      </c>
      <c r="R48" s="4">
        <v>2.0</v>
      </c>
      <c r="S48" s="4">
        <v>0.0</v>
      </c>
      <c r="T48" s="4">
        <v>1.0</v>
      </c>
      <c r="U48" s="4" t="s">
        <v>558</v>
      </c>
    </row>
    <row r="49">
      <c r="A49" s="3" t="s">
        <v>1007</v>
      </c>
      <c r="B49" s="3" t="s">
        <v>38</v>
      </c>
      <c r="C49" s="3" t="s">
        <v>1008</v>
      </c>
      <c r="D49" s="8" t="s">
        <v>52</v>
      </c>
      <c r="E49" s="7">
        <v>44734.0</v>
      </c>
      <c r="F49" s="20">
        <v>1512000.0</v>
      </c>
      <c r="G49" s="20">
        <v>1296000.0</v>
      </c>
      <c r="H49" s="3">
        <v>22.0</v>
      </c>
      <c r="I49" s="3" t="s">
        <v>496</v>
      </c>
      <c r="J49" s="3">
        <v>2016.0</v>
      </c>
      <c r="K49" s="23" t="s">
        <v>1010</v>
      </c>
      <c r="N49" s="27">
        <f t="shared" si="1"/>
        <v>0.8571428571</v>
      </c>
      <c r="O49" s="28">
        <v>5000000.0</v>
      </c>
      <c r="P49" s="4">
        <v>0.0</v>
      </c>
      <c r="Q49" s="4">
        <v>1.0</v>
      </c>
      <c r="R49" s="4">
        <v>2.0</v>
      </c>
      <c r="S49" s="4">
        <v>2.0</v>
      </c>
      <c r="T49" s="4">
        <v>4.0</v>
      </c>
      <c r="U49" s="4" t="s">
        <v>558</v>
      </c>
    </row>
    <row r="50">
      <c r="A50" s="3" t="s">
        <v>1018</v>
      </c>
      <c r="B50" s="3" t="s">
        <v>59</v>
      </c>
      <c r="C50" s="3" t="s">
        <v>1019</v>
      </c>
      <c r="D50" s="8" t="s">
        <v>48</v>
      </c>
      <c r="E50" s="7">
        <v>44701.0</v>
      </c>
      <c r="F50" s="20">
        <v>1431000.0</v>
      </c>
      <c r="G50" s="20">
        <v>1350000.0</v>
      </c>
      <c r="H50" s="5">
        <v>40.0</v>
      </c>
      <c r="I50" s="3" t="s">
        <v>496</v>
      </c>
      <c r="J50" s="5">
        <v>2019.0</v>
      </c>
      <c r="K50" s="29" t="s">
        <v>1020</v>
      </c>
      <c r="N50" s="27">
        <f t="shared" si="1"/>
        <v>0.9433962264</v>
      </c>
      <c r="O50" s="28"/>
      <c r="P50" s="4">
        <v>0.0</v>
      </c>
      <c r="Q50" s="4">
        <v>1.0</v>
      </c>
      <c r="R50" s="4">
        <v>1.0</v>
      </c>
      <c r="S50" s="4">
        <v>0.0</v>
      </c>
      <c r="T50" s="4">
        <v>3.0</v>
      </c>
      <c r="U50" s="4" t="s">
        <v>558</v>
      </c>
    </row>
    <row r="51">
      <c r="A51" s="3" t="s">
        <v>1026</v>
      </c>
      <c r="B51" s="3" t="s">
        <v>59</v>
      </c>
      <c r="C51" s="3" t="s">
        <v>1027</v>
      </c>
      <c r="D51" s="8" t="s">
        <v>48</v>
      </c>
      <c r="E51" s="7">
        <v>45839.0</v>
      </c>
      <c r="F51" s="20">
        <v>4050000.0</v>
      </c>
      <c r="G51" s="20">
        <v>1350000.0</v>
      </c>
      <c r="H51" s="5">
        <v>32.0</v>
      </c>
      <c r="I51" s="3" t="s">
        <v>496</v>
      </c>
      <c r="J51" s="5">
        <v>2014.0</v>
      </c>
      <c r="K51" s="29" t="s">
        <v>1032</v>
      </c>
      <c r="N51" s="27">
        <f t="shared" si="1"/>
        <v>0.3333333333</v>
      </c>
      <c r="O51" s="28">
        <v>234000.0</v>
      </c>
      <c r="P51" s="4">
        <v>1.0</v>
      </c>
      <c r="Q51" s="4">
        <v>0.0</v>
      </c>
      <c r="R51" s="4">
        <v>0.0</v>
      </c>
      <c r="S51" s="4">
        <v>3.0</v>
      </c>
      <c r="T51" s="4">
        <v>4.0</v>
      </c>
      <c r="U51" s="4" t="s">
        <v>558</v>
      </c>
    </row>
    <row r="52">
      <c r="A52" s="3" t="s">
        <v>1042</v>
      </c>
      <c r="B52" s="3" t="s">
        <v>76</v>
      </c>
      <c r="C52" s="3" t="s">
        <v>1043</v>
      </c>
      <c r="D52" s="8" t="s">
        <v>52</v>
      </c>
      <c r="E52" s="7">
        <v>45747.0</v>
      </c>
      <c r="F52" s="20">
        <v>2219400.0</v>
      </c>
      <c r="G52" s="20">
        <v>1404000.0</v>
      </c>
      <c r="H52" s="3">
        <v>60.0</v>
      </c>
      <c r="I52" s="3" t="s">
        <v>538</v>
      </c>
      <c r="J52" s="3">
        <v>2018.0</v>
      </c>
      <c r="K52" s="23" t="s">
        <v>1044</v>
      </c>
      <c r="N52" s="27">
        <f t="shared" si="1"/>
        <v>0.6326034063</v>
      </c>
      <c r="O52" s="28"/>
      <c r="P52" s="4">
        <v>0.0</v>
      </c>
      <c r="Q52" s="4">
        <v>0.0</v>
      </c>
      <c r="R52" s="4">
        <v>2.0</v>
      </c>
      <c r="S52" s="4">
        <v>0.0</v>
      </c>
      <c r="T52" s="4">
        <v>0.0</v>
      </c>
      <c r="U52" s="4" t="s">
        <v>569</v>
      </c>
    </row>
    <row r="53">
      <c r="A53" s="3" t="s">
        <v>1053</v>
      </c>
      <c r="B53" s="3" t="s">
        <v>38</v>
      </c>
      <c r="C53" s="3" t="s">
        <v>1054</v>
      </c>
      <c r="D53" s="8" t="s">
        <v>52</v>
      </c>
      <c r="E53" s="7">
        <v>43704.0</v>
      </c>
      <c r="F53" s="20">
        <v>1512000.0</v>
      </c>
      <c r="G53" s="20">
        <v>1512000.0</v>
      </c>
      <c r="H53" s="3">
        <v>32.0</v>
      </c>
      <c r="I53" s="3" t="s">
        <v>496</v>
      </c>
      <c r="J53" s="3">
        <v>2018.0</v>
      </c>
      <c r="K53" s="23" t="s">
        <v>1056</v>
      </c>
      <c r="N53" s="27">
        <f t="shared" si="1"/>
        <v>1</v>
      </c>
      <c r="O53" s="28"/>
      <c r="P53" s="4">
        <v>2.0</v>
      </c>
      <c r="Q53" s="4">
        <v>0.0</v>
      </c>
      <c r="R53" s="4">
        <v>2.0</v>
      </c>
      <c r="S53" s="4">
        <v>0.0</v>
      </c>
      <c r="T53" s="4">
        <v>1.0</v>
      </c>
      <c r="U53" s="4" t="s">
        <v>558</v>
      </c>
    </row>
    <row r="54">
      <c r="A54" s="3" t="s">
        <v>1063</v>
      </c>
      <c r="B54" s="3" t="s">
        <v>59</v>
      </c>
      <c r="C54" s="3" t="s">
        <v>1064</v>
      </c>
      <c r="D54" s="8" t="s">
        <v>52</v>
      </c>
      <c r="E54" s="7">
        <v>42005.0</v>
      </c>
      <c r="F54" s="20">
        <v>2311200.0</v>
      </c>
      <c r="G54" s="20">
        <v>1512000.0</v>
      </c>
      <c r="H54" s="3">
        <v>37.0</v>
      </c>
      <c r="I54" s="3" t="s">
        <v>496</v>
      </c>
      <c r="J54" s="3">
        <v>2012.0</v>
      </c>
      <c r="K54" s="23" t="s">
        <v>1067</v>
      </c>
      <c r="N54" s="27">
        <f t="shared" si="1"/>
        <v>0.6542056075</v>
      </c>
      <c r="O54" s="28"/>
      <c r="P54" s="4">
        <v>0.0</v>
      </c>
      <c r="Q54" s="4">
        <v>1.0</v>
      </c>
      <c r="R54" s="4">
        <v>0.0</v>
      </c>
      <c r="S54" s="4">
        <v>0.0</v>
      </c>
      <c r="T54" s="4">
        <v>0.0</v>
      </c>
      <c r="U54" s="4" t="s">
        <v>569</v>
      </c>
    </row>
    <row r="55">
      <c r="A55" s="3" t="s">
        <v>1053</v>
      </c>
      <c r="B55" s="3" t="s">
        <v>38</v>
      </c>
      <c r="C55" s="3" t="s">
        <v>1075</v>
      </c>
      <c r="D55" s="8" t="s">
        <v>52</v>
      </c>
      <c r="E55" s="7">
        <v>45643.0</v>
      </c>
      <c r="F55" s="20">
        <v>1512000.0</v>
      </c>
      <c r="G55" s="20">
        <v>1512000.0</v>
      </c>
      <c r="H55" s="5">
        <v>32.0</v>
      </c>
      <c r="I55" s="3" t="s">
        <v>496</v>
      </c>
      <c r="J55" s="5">
        <v>2018.0</v>
      </c>
      <c r="K55" s="29" t="s">
        <v>1056</v>
      </c>
      <c r="N55" s="27">
        <f t="shared" si="1"/>
        <v>1</v>
      </c>
      <c r="O55" s="28"/>
      <c r="P55" s="4">
        <v>2.0</v>
      </c>
      <c r="Q55" s="4">
        <v>0.0</v>
      </c>
      <c r="R55" s="4">
        <v>2.0</v>
      </c>
      <c r="S55" s="4">
        <v>0.0</v>
      </c>
      <c r="T55" s="4">
        <v>1.0</v>
      </c>
      <c r="U55" s="4" t="s">
        <v>558</v>
      </c>
    </row>
    <row r="56">
      <c r="A56" s="3" t="s">
        <v>1079</v>
      </c>
      <c r="B56" s="3" t="s">
        <v>59</v>
      </c>
      <c r="C56" s="3" t="s">
        <v>1080</v>
      </c>
      <c r="D56" s="8" t="s">
        <v>52</v>
      </c>
      <c r="E56" s="7">
        <v>44887.0</v>
      </c>
      <c r="F56" s="20">
        <v>1620000.0</v>
      </c>
      <c r="G56" s="20">
        <v>1620000.0</v>
      </c>
      <c r="H56" s="3">
        <v>20.0</v>
      </c>
      <c r="I56" s="3" t="s">
        <v>496</v>
      </c>
      <c r="J56" s="3">
        <v>2021.0</v>
      </c>
      <c r="K56" s="23" t="s">
        <v>1081</v>
      </c>
      <c r="N56" s="27">
        <f t="shared" si="1"/>
        <v>1</v>
      </c>
      <c r="O56" s="28"/>
      <c r="P56" s="4">
        <v>2.0</v>
      </c>
      <c r="Q56" s="4">
        <v>0.0</v>
      </c>
      <c r="R56" s="4">
        <v>1.0</v>
      </c>
      <c r="S56" s="4">
        <v>0.0</v>
      </c>
      <c r="T56" s="4">
        <v>0.0</v>
      </c>
      <c r="U56" s="4" t="s">
        <v>558</v>
      </c>
    </row>
    <row r="57">
      <c r="A57" s="3" t="s">
        <v>1088</v>
      </c>
      <c r="B57" s="3" t="s">
        <v>59</v>
      </c>
      <c r="C57" s="3" t="s">
        <v>1089</v>
      </c>
      <c r="D57" s="8" t="s">
        <v>48</v>
      </c>
      <c r="E57" s="7">
        <v>45425.0</v>
      </c>
      <c r="F57" s="20">
        <v>3300000.0</v>
      </c>
      <c r="G57" s="20">
        <v>1800000.0</v>
      </c>
      <c r="H57" s="5">
        <v>41.0</v>
      </c>
      <c r="I57" s="3" t="s">
        <v>496</v>
      </c>
      <c r="J57" s="5">
        <v>2022.0</v>
      </c>
      <c r="K57" s="29" t="s">
        <v>1090</v>
      </c>
      <c r="N57" s="27">
        <f t="shared" si="1"/>
        <v>0.5454545455</v>
      </c>
      <c r="O57" s="28"/>
      <c r="P57" s="4">
        <v>2.0</v>
      </c>
      <c r="Q57" s="4">
        <v>1.0</v>
      </c>
      <c r="R57" s="4">
        <v>2.0</v>
      </c>
      <c r="S57" s="4">
        <v>0.0</v>
      </c>
      <c r="T57" s="4">
        <v>3.0</v>
      </c>
      <c r="U57" s="4" t="s">
        <v>558</v>
      </c>
    </row>
    <row r="58">
      <c r="A58" s="3" t="s">
        <v>1095</v>
      </c>
      <c r="B58" s="3" t="s">
        <v>59</v>
      </c>
      <c r="C58" s="3" t="s">
        <v>1097</v>
      </c>
      <c r="D58" s="8" t="s">
        <v>48</v>
      </c>
      <c r="E58" s="7">
        <v>45769.0</v>
      </c>
      <c r="F58" s="20">
        <v>1800000.0</v>
      </c>
      <c r="G58" s="20">
        <v>1800000.0</v>
      </c>
      <c r="H58" s="5">
        <v>26.0</v>
      </c>
      <c r="I58" s="3" t="s">
        <v>496</v>
      </c>
      <c r="J58" s="5">
        <v>2025.0</v>
      </c>
      <c r="K58" s="29" t="s">
        <v>1100</v>
      </c>
      <c r="N58" s="27">
        <f t="shared" si="1"/>
        <v>1</v>
      </c>
      <c r="O58" s="28"/>
      <c r="P58" s="4">
        <v>3.0</v>
      </c>
      <c r="Q58" s="4">
        <v>1.0</v>
      </c>
      <c r="R58" s="4">
        <v>3.0</v>
      </c>
      <c r="S58" s="4">
        <v>0.0</v>
      </c>
      <c r="T58" s="4">
        <v>2.0</v>
      </c>
      <c r="U58" s="4" t="s">
        <v>558</v>
      </c>
    </row>
    <row r="59">
      <c r="A59" s="3" t="s">
        <v>1105</v>
      </c>
      <c r="B59" s="3" t="s">
        <v>59</v>
      </c>
      <c r="C59" s="3" t="s">
        <v>1106</v>
      </c>
      <c r="D59" s="8" t="s">
        <v>52</v>
      </c>
      <c r="E59" s="7">
        <v>43411.0</v>
      </c>
      <c r="F59" s="20">
        <v>1836000.0</v>
      </c>
      <c r="G59" s="20">
        <v>1836000.0</v>
      </c>
      <c r="H59" s="3">
        <v>51.0</v>
      </c>
      <c r="I59" s="3" t="s">
        <v>538</v>
      </c>
      <c r="J59" s="3">
        <v>2017.0</v>
      </c>
      <c r="K59" s="23" t="s">
        <v>1107</v>
      </c>
      <c r="N59" s="27">
        <f t="shared" si="1"/>
        <v>1</v>
      </c>
      <c r="O59" s="28"/>
      <c r="P59" s="4">
        <v>0.0</v>
      </c>
      <c r="Q59" s="4">
        <v>1.0</v>
      </c>
      <c r="R59" s="4">
        <v>4.0</v>
      </c>
      <c r="S59" s="4">
        <v>2.0</v>
      </c>
      <c r="T59" s="4">
        <v>4.0</v>
      </c>
      <c r="U59" s="4" t="s">
        <v>595</v>
      </c>
    </row>
    <row r="60">
      <c r="A60" s="3" t="s">
        <v>1116</v>
      </c>
      <c r="B60" s="3" t="s">
        <v>59</v>
      </c>
      <c r="C60" s="3" t="s">
        <v>1117</v>
      </c>
      <c r="D60" s="8" t="s">
        <v>52</v>
      </c>
      <c r="E60" s="7">
        <v>45552.0</v>
      </c>
      <c r="F60" s="20">
        <v>1998001.0</v>
      </c>
      <c r="G60" s="20">
        <v>1890000.0</v>
      </c>
      <c r="H60" s="3">
        <v>12.0</v>
      </c>
      <c r="I60" s="3" t="s">
        <v>496</v>
      </c>
      <c r="J60" s="3">
        <v>2022.0</v>
      </c>
      <c r="K60" s="23" t="s">
        <v>1118</v>
      </c>
      <c r="N60" s="27">
        <f t="shared" si="1"/>
        <v>0.9459454725</v>
      </c>
      <c r="O60" s="28"/>
      <c r="P60" s="4">
        <v>1.0</v>
      </c>
      <c r="Q60" s="4">
        <v>0.0</v>
      </c>
      <c r="R60" s="4">
        <v>2.0</v>
      </c>
      <c r="S60" s="4">
        <v>0.0</v>
      </c>
      <c r="T60" s="4">
        <v>0.0</v>
      </c>
      <c r="U60" s="4" t="s">
        <v>550</v>
      </c>
    </row>
    <row r="61">
      <c r="A61" s="3" t="s">
        <v>1125</v>
      </c>
      <c r="B61" s="3" t="s">
        <v>59</v>
      </c>
      <c r="C61" s="3" t="s">
        <v>1126</v>
      </c>
      <c r="D61" s="8" t="s">
        <v>52</v>
      </c>
      <c r="E61" s="7">
        <v>45251.0</v>
      </c>
      <c r="F61" s="20">
        <v>2376000.0</v>
      </c>
      <c r="G61" s="20">
        <v>1944000.0</v>
      </c>
      <c r="H61" s="5">
        <v>28.0</v>
      </c>
      <c r="I61" s="3" t="s">
        <v>496</v>
      </c>
      <c r="J61" s="5">
        <v>2019.0</v>
      </c>
      <c r="K61" s="29" t="s">
        <v>1129</v>
      </c>
      <c r="N61" s="27">
        <f t="shared" si="1"/>
        <v>0.8181818182</v>
      </c>
      <c r="O61" s="28">
        <v>2000000.0</v>
      </c>
      <c r="P61" s="4">
        <v>1.0</v>
      </c>
      <c r="Q61" s="4">
        <v>0.0</v>
      </c>
      <c r="R61" s="4">
        <v>1.0</v>
      </c>
      <c r="S61" s="4">
        <v>0.0</v>
      </c>
      <c r="T61" s="4">
        <v>2.0</v>
      </c>
      <c r="U61" s="4" t="s">
        <v>595</v>
      </c>
    </row>
    <row r="62">
      <c r="A62" s="3" t="s">
        <v>717</v>
      </c>
      <c r="B62" s="3" t="s">
        <v>59</v>
      </c>
      <c r="C62" s="3" t="s">
        <v>718</v>
      </c>
      <c r="D62" s="8" t="s">
        <v>52</v>
      </c>
      <c r="E62" s="7">
        <v>45355.0</v>
      </c>
      <c r="F62" s="20">
        <v>1950000.0</v>
      </c>
      <c r="G62" s="20">
        <v>1950000.0</v>
      </c>
      <c r="H62" s="3">
        <v>23.0</v>
      </c>
      <c r="I62" s="3" t="s">
        <v>496</v>
      </c>
      <c r="J62" s="3">
        <v>2018.0</v>
      </c>
      <c r="K62" s="23" t="s">
        <v>1122</v>
      </c>
      <c r="N62" s="27">
        <f t="shared" si="1"/>
        <v>1</v>
      </c>
      <c r="O62" s="28"/>
      <c r="P62" s="4">
        <v>1.0</v>
      </c>
      <c r="Q62" s="4">
        <v>0.0</v>
      </c>
      <c r="R62" s="4">
        <v>4.0</v>
      </c>
      <c r="S62" s="4">
        <v>0.0</v>
      </c>
      <c r="T62" s="4">
        <v>0.0</v>
      </c>
      <c r="U62" s="4" t="s">
        <v>569</v>
      </c>
    </row>
    <row r="63">
      <c r="A63" s="3" t="s">
        <v>860</v>
      </c>
      <c r="B63" s="3" t="s">
        <v>289</v>
      </c>
      <c r="C63" s="3" t="s">
        <v>861</v>
      </c>
      <c r="D63" s="8" t="s">
        <v>48</v>
      </c>
      <c r="E63" s="7">
        <v>45625.0</v>
      </c>
      <c r="F63" s="20">
        <v>2.1370375E7</v>
      </c>
      <c r="G63" s="20">
        <v>2000000.0</v>
      </c>
      <c r="H63" s="3">
        <v>120.0</v>
      </c>
      <c r="I63" s="3" t="s">
        <v>514</v>
      </c>
      <c r="J63" s="3">
        <v>2021.0</v>
      </c>
      <c r="K63" s="23" t="s">
        <v>1142</v>
      </c>
      <c r="N63" s="27">
        <f t="shared" si="1"/>
        <v>0.09358750139</v>
      </c>
      <c r="O63" s="28"/>
      <c r="P63" s="4">
        <v>0.0</v>
      </c>
      <c r="Q63" s="4">
        <v>0.0</v>
      </c>
      <c r="R63" s="4">
        <v>0.0</v>
      </c>
      <c r="S63" s="4">
        <v>0.0</v>
      </c>
      <c r="T63" s="4">
        <v>1.0</v>
      </c>
      <c r="U63" s="4" t="s">
        <v>595</v>
      </c>
    </row>
    <row r="64">
      <c r="A64" s="3" t="s">
        <v>1149</v>
      </c>
      <c r="B64" s="3" t="s">
        <v>38</v>
      </c>
      <c r="C64" s="3" t="s">
        <v>1150</v>
      </c>
      <c r="D64" s="8" t="s">
        <v>52</v>
      </c>
      <c r="E64" s="7">
        <v>45841.0</v>
      </c>
      <c r="F64" s="20">
        <v>3780000.0</v>
      </c>
      <c r="G64" s="20">
        <v>2160000.0</v>
      </c>
      <c r="H64" s="5">
        <v>29.0</v>
      </c>
      <c r="I64" s="3" t="s">
        <v>496</v>
      </c>
      <c r="J64" s="5">
        <v>2017.0</v>
      </c>
      <c r="K64" s="29" t="s">
        <v>1153</v>
      </c>
      <c r="N64" s="27">
        <f t="shared" si="1"/>
        <v>0.5714285714</v>
      </c>
      <c r="O64" s="28"/>
      <c r="P64" s="4">
        <v>2.0</v>
      </c>
      <c r="Q64" s="4">
        <v>0.0</v>
      </c>
      <c r="R64" s="4">
        <v>0.0</v>
      </c>
      <c r="S64" s="4">
        <v>1.0</v>
      </c>
      <c r="T64" s="4">
        <v>2.0</v>
      </c>
      <c r="U64" s="4" t="s">
        <v>558</v>
      </c>
    </row>
    <row r="65">
      <c r="A65" s="3" t="s">
        <v>1161</v>
      </c>
      <c r="B65" s="3" t="s">
        <v>76</v>
      </c>
      <c r="C65" s="3" t="s">
        <v>1163</v>
      </c>
      <c r="D65" s="8" t="s">
        <v>52</v>
      </c>
      <c r="E65" s="7">
        <v>45841.0</v>
      </c>
      <c r="F65" s="20">
        <v>2970000.0</v>
      </c>
      <c r="G65" s="20">
        <v>2160000.0</v>
      </c>
      <c r="H65" s="4">
        <v>8.0</v>
      </c>
      <c r="I65" s="3" t="s">
        <v>496</v>
      </c>
      <c r="J65" s="5">
        <v>2023.0</v>
      </c>
      <c r="K65" s="29" t="s">
        <v>1168</v>
      </c>
      <c r="N65" s="27">
        <f t="shared" si="1"/>
        <v>0.7272727273</v>
      </c>
      <c r="O65" s="28"/>
      <c r="P65" s="4">
        <v>0.0</v>
      </c>
      <c r="Q65" s="4">
        <v>1.0</v>
      </c>
      <c r="R65" s="4">
        <v>0.0</v>
      </c>
      <c r="S65" s="4">
        <v>0.0</v>
      </c>
      <c r="T65" s="4">
        <v>0.0</v>
      </c>
      <c r="U65" s="4" t="s">
        <v>558</v>
      </c>
    </row>
    <row r="66">
      <c r="A66" s="3" t="s">
        <v>1175</v>
      </c>
      <c r="B66" s="3" t="s">
        <v>59</v>
      </c>
      <c r="C66" s="3" t="s">
        <v>1177</v>
      </c>
      <c r="D66" s="8" t="s">
        <v>52</v>
      </c>
      <c r="E66" s="7">
        <v>45748.0</v>
      </c>
      <c r="F66" s="20">
        <v>3780000.0</v>
      </c>
      <c r="G66" s="20">
        <v>2160000.0</v>
      </c>
      <c r="H66" s="5">
        <v>19.0</v>
      </c>
      <c r="I66" s="3" t="s">
        <v>496</v>
      </c>
      <c r="J66" s="5">
        <v>2022.0</v>
      </c>
      <c r="K66" s="29" t="s">
        <v>1178</v>
      </c>
      <c r="N66" s="27">
        <f t="shared" si="1"/>
        <v>0.5714285714</v>
      </c>
      <c r="O66" s="28"/>
      <c r="P66" s="4">
        <v>0.0</v>
      </c>
      <c r="Q66" s="4">
        <v>1.0</v>
      </c>
      <c r="R66" s="4">
        <v>0.0</v>
      </c>
      <c r="S66" s="4">
        <v>0.0</v>
      </c>
      <c r="T66" s="4">
        <v>0.0</v>
      </c>
      <c r="U66" s="4" t="s">
        <v>558</v>
      </c>
    </row>
    <row r="67">
      <c r="A67" s="3" t="s">
        <v>1184</v>
      </c>
      <c r="B67" s="3" t="s">
        <v>59</v>
      </c>
      <c r="C67" s="3" t="s">
        <v>1185</v>
      </c>
      <c r="D67" s="8" t="s">
        <v>52</v>
      </c>
      <c r="E67" s="7">
        <v>45300.0</v>
      </c>
      <c r="F67" s="20">
        <v>2160000.0</v>
      </c>
      <c r="G67" s="20">
        <v>2160000.0</v>
      </c>
      <c r="H67" s="5">
        <v>22.0</v>
      </c>
      <c r="I67" s="3" t="s">
        <v>496</v>
      </c>
      <c r="J67" s="5">
        <v>2020.0</v>
      </c>
      <c r="K67" s="29" t="s">
        <v>1186</v>
      </c>
      <c r="N67" s="27">
        <f t="shared" si="1"/>
        <v>1</v>
      </c>
      <c r="O67" s="28"/>
      <c r="P67" s="4">
        <v>1.0</v>
      </c>
      <c r="Q67" s="4">
        <v>0.0</v>
      </c>
      <c r="R67" s="4">
        <v>0.0</v>
      </c>
      <c r="S67" s="4">
        <v>1.0</v>
      </c>
      <c r="T67" s="4">
        <v>1.0</v>
      </c>
      <c r="U67" s="4" t="s">
        <v>569</v>
      </c>
    </row>
    <row r="68">
      <c r="A68" s="3" t="s">
        <v>1193</v>
      </c>
      <c r="B68" s="3" t="s">
        <v>59</v>
      </c>
      <c r="C68" s="3" t="s">
        <v>1195</v>
      </c>
      <c r="D68" s="8" t="s">
        <v>52</v>
      </c>
      <c r="E68" s="7">
        <v>45495.0</v>
      </c>
      <c r="F68" s="20">
        <v>2268000.0</v>
      </c>
      <c r="G68" s="20">
        <v>2160000.0</v>
      </c>
      <c r="H68" s="5">
        <v>22.0</v>
      </c>
      <c r="I68" s="3" t="s">
        <v>496</v>
      </c>
      <c r="J68" s="5">
        <v>2021.0</v>
      </c>
      <c r="K68" s="29" t="s">
        <v>1197</v>
      </c>
      <c r="N68" s="27">
        <f t="shared" si="1"/>
        <v>0.9523809524</v>
      </c>
      <c r="O68" s="28"/>
      <c r="P68" s="4">
        <v>0.0</v>
      </c>
      <c r="Q68" s="4">
        <v>1.0</v>
      </c>
      <c r="R68" s="4">
        <v>0.0</v>
      </c>
      <c r="S68" s="4">
        <v>0.0</v>
      </c>
      <c r="T68" s="4">
        <v>0.0</v>
      </c>
      <c r="U68" s="4" t="s">
        <v>569</v>
      </c>
    </row>
    <row r="69">
      <c r="A69" s="23" t="s">
        <v>1203</v>
      </c>
      <c r="B69" s="3" t="s">
        <v>59</v>
      </c>
      <c r="C69" s="3" t="s">
        <v>1211</v>
      </c>
      <c r="D69" s="8" t="s">
        <v>52</v>
      </c>
      <c r="E69" s="7">
        <v>43895.0</v>
      </c>
      <c r="F69" s="20">
        <v>2970000.0</v>
      </c>
      <c r="G69" s="20">
        <v>2160000.0</v>
      </c>
      <c r="H69" s="5">
        <v>44.0</v>
      </c>
      <c r="I69" s="3" t="s">
        <v>496</v>
      </c>
      <c r="J69" s="5">
        <v>2013.0</v>
      </c>
      <c r="K69" s="29" t="s">
        <v>1212</v>
      </c>
      <c r="N69" s="27">
        <f t="shared" si="1"/>
        <v>0.7272727273</v>
      </c>
      <c r="O69" s="28">
        <v>2900000.0</v>
      </c>
      <c r="P69" s="4">
        <v>1.0</v>
      </c>
      <c r="Q69" s="4">
        <v>0.0</v>
      </c>
      <c r="R69" s="4">
        <v>2.0</v>
      </c>
      <c r="S69" s="4">
        <v>3.0</v>
      </c>
      <c r="T69" s="4">
        <v>7.0</v>
      </c>
      <c r="U69" s="4" t="s">
        <v>558</v>
      </c>
    </row>
    <row r="70">
      <c r="A70" s="3" t="s">
        <v>1220</v>
      </c>
      <c r="B70" s="3" t="s">
        <v>76</v>
      </c>
      <c r="C70" s="3" t="s">
        <v>866</v>
      </c>
      <c r="D70" s="8" t="s">
        <v>52</v>
      </c>
      <c r="E70" s="7">
        <v>43983.0</v>
      </c>
      <c r="F70" s="20">
        <v>2200000.0</v>
      </c>
      <c r="G70" s="20">
        <v>2200000.0</v>
      </c>
      <c r="H70" s="3">
        <v>28.0</v>
      </c>
      <c r="I70" s="3" t="s">
        <v>496</v>
      </c>
      <c r="J70" s="3">
        <v>2015.0</v>
      </c>
      <c r="K70" s="23" t="s">
        <v>1223</v>
      </c>
      <c r="N70" s="27">
        <f t="shared" si="1"/>
        <v>1</v>
      </c>
      <c r="O70" s="28"/>
      <c r="P70" s="4">
        <v>0.0</v>
      </c>
      <c r="Q70" s="4">
        <v>1.0</v>
      </c>
      <c r="R70" s="4">
        <v>1.0</v>
      </c>
      <c r="S70" s="4">
        <v>1.0</v>
      </c>
      <c r="T70" s="4">
        <v>0.0</v>
      </c>
      <c r="U70" s="4" t="s">
        <v>558</v>
      </c>
    </row>
    <row r="71">
      <c r="A71" s="3" t="s">
        <v>868</v>
      </c>
      <c r="B71" s="3" t="s">
        <v>38</v>
      </c>
      <c r="C71" s="3" t="s">
        <v>869</v>
      </c>
      <c r="D71" s="8" t="s">
        <v>52</v>
      </c>
      <c r="E71" s="7">
        <v>43466.0</v>
      </c>
      <c r="F71" s="20">
        <v>2200000.0</v>
      </c>
      <c r="G71" s="20">
        <v>2200000.0</v>
      </c>
      <c r="H71" s="3">
        <v>54.0</v>
      </c>
      <c r="I71" s="3" t="s">
        <v>496</v>
      </c>
      <c r="J71" s="3">
        <v>2007.0</v>
      </c>
      <c r="K71" s="23" t="s">
        <v>1229</v>
      </c>
      <c r="N71" s="27">
        <f t="shared" si="1"/>
        <v>1</v>
      </c>
      <c r="O71" s="28"/>
      <c r="P71" s="4">
        <v>0.0</v>
      </c>
      <c r="Q71" s="4">
        <v>0.0</v>
      </c>
      <c r="R71" s="4">
        <v>0.0</v>
      </c>
      <c r="S71" s="4">
        <v>1.0</v>
      </c>
      <c r="T71" s="4">
        <v>2.0</v>
      </c>
      <c r="U71" s="4" t="s">
        <v>558</v>
      </c>
    </row>
    <row r="72">
      <c r="A72" s="3" t="s">
        <v>1236</v>
      </c>
      <c r="B72" s="3" t="s">
        <v>59</v>
      </c>
      <c r="C72" s="3" t="s">
        <v>1237</v>
      </c>
      <c r="D72" s="8" t="s">
        <v>48</v>
      </c>
      <c r="E72" s="7">
        <v>44456.0</v>
      </c>
      <c r="F72" s="20">
        <v>2772000.0</v>
      </c>
      <c r="G72" s="20">
        <v>2340000.0</v>
      </c>
      <c r="H72" s="5">
        <v>151.0</v>
      </c>
      <c r="I72" s="3" t="s">
        <v>514</v>
      </c>
      <c r="J72" s="5">
        <v>2016.0</v>
      </c>
      <c r="K72" s="29" t="s">
        <v>1240</v>
      </c>
      <c r="N72" s="27">
        <f t="shared" si="1"/>
        <v>0.8441558442</v>
      </c>
      <c r="O72" s="28">
        <v>1.23E7</v>
      </c>
      <c r="P72" s="4">
        <v>0.0</v>
      </c>
      <c r="Q72" s="4">
        <v>3.0</v>
      </c>
      <c r="R72" s="4">
        <v>4.0</v>
      </c>
      <c r="S72" s="4">
        <v>2.0</v>
      </c>
      <c r="T72" s="4">
        <v>6.0</v>
      </c>
      <c r="U72" s="4" t="s">
        <v>569</v>
      </c>
    </row>
    <row r="73">
      <c r="A73" s="3" t="s">
        <v>1251</v>
      </c>
      <c r="B73" s="3" t="s">
        <v>59</v>
      </c>
      <c r="C73" s="3" t="s">
        <v>1253</v>
      </c>
      <c r="D73" s="8" t="s">
        <v>52</v>
      </c>
      <c r="E73" s="7">
        <v>45604.0</v>
      </c>
      <c r="F73" s="20">
        <v>2787278.0</v>
      </c>
      <c r="G73" s="20">
        <v>2340000.0</v>
      </c>
      <c r="H73" s="5">
        <v>23.0</v>
      </c>
      <c r="I73" s="3" t="s">
        <v>496</v>
      </c>
      <c r="J73" s="5">
        <v>2020.0</v>
      </c>
      <c r="K73" s="30" t="s">
        <v>1255</v>
      </c>
      <c r="N73" s="27">
        <f t="shared" si="1"/>
        <v>0.8395287445</v>
      </c>
      <c r="O73" s="28"/>
      <c r="P73" s="4">
        <v>1.0</v>
      </c>
      <c r="Q73" s="4">
        <v>1.0</v>
      </c>
      <c r="R73" s="4">
        <v>3.0</v>
      </c>
      <c r="S73" s="4">
        <v>0.0</v>
      </c>
      <c r="T73" s="4">
        <v>0.0</v>
      </c>
      <c r="U73" s="4" t="s">
        <v>569</v>
      </c>
    </row>
    <row r="74">
      <c r="A74" s="3" t="s">
        <v>871</v>
      </c>
      <c r="B74" s="3" t="s">
        <v>59</v>
      </c>
      <c r="C74" s="3" t="s">
        <v>872</v>
      </c>
      <c r="D74" s="8" t="s">
        <v>52</v>
      </c>
      <c r="E74" s="7">
        <v>45457.0</v>
      </c>
      <c r="F74" s="20">
        <v>2400000.0</v>
      </c>
      <c r="G74" s="20">
        <v>2400000.0</v>
      </c>
      <c r="H74" s="4">
        <v>4.0</v>
      </c>
      <c r="I74" s="5" t="s">
        <v>584</v>
      </c>
      <c r="J74" s="3">
        <v>2021.0</v>
      </c>
      <c r="K74" s="23" t="s">
        <v>1259</v>
      </c>
      <c r="N74" s="27">
        <f t="shared" si="1"/>
        <v>1</v>
      </c>
      <c r="O74" s="28"/>
      <c r="P74" s="4">
        <v>1.0</v>
      </c>
      <c r="Q74" s="4">
        <v>1.0</v>
      </c>
      <c r="R74" s="4">
        <v>2.0</v>
      </c>
      <c r="S74" s="4">
        <v>0.0</v>
      </c>
      <c r="T74" s="4">
        <v>0.0</v>
      </c>
      <c r="U74" s="4" t="s">
        <v>569</v>
      </c>
    </row>
    <row r="75">
      <c r="A75" s="3" t="s">
        <v>590</v>
      </c>
      <c r="B75" s="3" t="s">
        <v>59</v>
      </c>
      <c r="C75" s="3" t="s">
        <v>591</v>
      </c>
      <c r="D75" s="8" t="s">
        <v>48</v>
      </c>
      <c r="E75" s="7">
        <v>45015.0</v>
      </c>
      <c r="F75" s="20">
        <v>2500000.0</v>
      </c>
      <c r="G75" s="20">
        <v>2500000.0</v>
      </c>
      <c r="H75" s="3">
        <v>17.0</v>
      </c>
      <c r="I75" s="3" t="s">
        <v>496</v>
      </c>
      <c r="J75" s="3">
        <v>2022.0</v>
      </c>
      <c r="K75" s="23" t="s">
        <v>934</v>
      </c>
      <c r="N75" s="27">
        <f t="shared" si="1"/>
        <v>1</v>
      </c>
      <c r="O75" s="28">
        <v>1000000.0</v>
      </c>
      <c r="P75" s="4">
        <v>1.0</v>
      </c>
      <c r="Q75" s="4">
        <v>1.0</v>
      </c>
      <c r="R75" s="4">
        <v>0.0</v>
      </c>
      <c r="S75" s="4">
        <v>0.0</v>
      </c>
      <c r="T75" s="4">
        <v>1.0</v>
      </c>
      <c r="U75" s="4" t="s">
        <v>558</v>
      </c>
    </row>
    <row r="76">
      <c r="A76" s="23" t="s">
        <v>594</v>
      </c>
      <c r="B76" s="3" t="s">
        <v>59</v>
      </c>
      <c r="C76" s="3" t="s">
        <v>596</v>
      </c>
      <c r="D76" s="8" t="s">
        <v>48</v>
      </c>
      <c r="E76" s="7">
        <v>45363.0</v>
      </c>
      <c r="F76" s="20">
        <v>2500000.0</v>
      </c>
      <c r="G76" s="20">
        <v>2500000.0</v>
      </c>
      <c r="H76" s="3">
        <v>68.0</v>
      </c>
      <c r="I76" s="3" t="s">
        <v>538</v>
      </c>
      <c r="J76" s="3">
        <v>2021.0</v>
      </c>
      <c r="K76" s="23" t="s">
        <v>945</v>
      </c>
      <c r="N76" s="27">
        <f t="shared" si="1"/>
        <v>1</v>
      </c>
      <c r="O76" s="28"/>
      <c r="P76" s="4">
        <v>1.0</v>
      </c>
      <c r="Q76" s="4">
        <v>1.0</v>
      </c>
      <c r="R76" s="4">
        <v>0.0</v>
      </c>
      <c r="S76" s="4">
        <v>0.0</v>
      </c>
      <c r="T76" s="4">
        <v>2.0</v>
      </c>
      <c r="U76" s="4" t="s">
        <v>558</v>
      </c>
    </row>
    <row r="77">
      <c r="A77" s="3" t="s">
        <v>875</v>
      </c>
      <c r="B77" s="3" t="s">
        <v>38</v>
      </c>
      <c r="C77" s="3" t="s">
        <v>541</v>
      </c>
      <c r="D77" s="8" t="s">
        <v>48</v>
      </c>
      <c r="E77" s="7">
        <v>45953.0</v>
      </c>
      <c r="F77" s="20">
        <v>5.1118155E7</v>
      </c>
      <c r="G77" s="20">
        <v>2500000.0</v>
      </c>
      <c r="H77" s="3">
        <v>118.0</v>
      </c>
      <c r="I77" s="3" t="s">
        <v>514</v>
      </c>
      <c r="J77" s="3">
        <v>2020.0</v>
      </c>
      <c r="K77" s="23" t="s">
        <v>1273</v>
      </c>
      <c r="N77" s="27">
        <f t="shared" si="1"/>
        <v>0.04890630345</v>
      </c>
      <c r="O77" s="28">
        <v>6.8E7</v>
      </c>
      <c r="P77" s="4">
        <v>0.0</v>
      </c>
      <c r="Q77" s="4">
        <v>2.0</v>
      </c>
      <c r="R77" s="4">
        <v>3.0</v>
      </c>
      <c r="S77" s="4">
        <v>0.0</v>
      </c>
      <c r="T77" s="4">
        <v>2.0</v>
      </c>
      <c r="U77" s="4" t="s">
        <v>569</v>
      </c>
    </row>
    <row r="78">
      <c r="A78" s="3" t="s">
        <v>1277</v>
      </c>
      <c r="B78" s="3" t="s">
        <v>38</v>
      </c>
      <c r="C78" s="3" t="s">
        <v>1278</v>
      </c>
      <c r="D78" s="8" t="s">
        <v>48</v>
      </c>
      <c r="E78" s="7">
        <v>45576.0</v>
      </c>
      <c r="F78" s="20">
        <v>1.0044E8</v>
      </c>
      <c r="G78" s="20">
        <v>2520000.0</v>
      </c>
      <c r="H78" s="5">
        <v>1109.0</v>
      </c>
      <c r="I78" s="3" t="s">
        <v>1144</v>
      </c>
      <c r="J78" s="5">
        <v>2010.0</v>
      </c>
      <c r="K78" s="29" t="s">
        <v>1280</v>
      </c>
      <c r="N78" s="27">
        <f t="shared" si="1"/>
        <v>0.02508960573</v>
      </c>
      <c r="O78" s="28">
        <v>9.1E7</v>
      </c>
      <c r="P78" s="4">
        <v>2.0</v>
      </c>
      <c r="Q78" s="4">
        <v>1.0</v>
      </c>
      <c r="R78" s="4">
        <v>10.0</v>
      </c>
      <c r="S78" s="4">
        <v>3.0</v>
      </c>
      <c r="T78" s="4">
        <v>5.0</v>
      </c>
      <c r="U78" s="4" t="s">
        <v>558</v>
      </c>
    </row>
    <row r="79">
      <c r="A79" s="3" t="s">
        <v>1282</v>
      </c>
      <c r="B79" s="3" t="s">
        <v>38</v>
      </c>
      <c r="C79" s="3" t="s">
        <v>1284</v>
      </c>
      <c r="D79" s="8" t="s">
        <v>52</v>
      </c>
      <c r="E79" s="7">
        <v>45098.0</v>
      </c>
      <c r="F79" s="20">
        <v>5823441.0</v>
      </c>
      <c r="G79" s="20">
        <v>2700000.0</v>
      </c>
      <c r="H79" s="5">
        <v>74.0</v>
      </c>
      <c r="I79" s="3" t="s">
        <v>538</v>
      </c>
      <c r="J79" s="5">
        <v>2016.0</v>
      </c>
      <c r="K79" s="30" t="s">
        <v>1285</v>
      </c>
      <c r="N79" s="27">
        <f t="shared" si="1"/>
        <v>0.4636434026</v>
      </c>
      <c r="O79" s="28">
        <v>3000000.0</v>
      </c>
      <c r="P79" s="4">
        <v>1.0</v>
      </c>
      <c r="Q79" s="4">
        <v>0.0</v>
      </c>
      <c r="R79" s="4">
        <v>3.0</v>
      </c>
      <c r="S79" s="4">
        <v>0.0</v>
      </c>
      <c r="T79" s="4">
        <v>2.0</v>
      </c>
      <c r="U79" s="4" t="s">
        <v>558</v>
      </c>
    </row>
    <row r="80">
      <c r="A80" s="3" t="s">
        <v>1289</v>
      </c>
      <c r="B80" s="3" t="s">
        <v>59</v>
      </c>
      <c r="C80" s="3" t="s">
        <v>1290</v>
      </c>
      <c r="D80" s="8" t="s">
        <v>52</v>
      </c>
      <c r="E80" s="7">
        <v>45377.0</v>
      </c>
      <c r="F80" s="20">
        <v>4803671.0</v>
      </c>
      <c r="G80" s="20">
        <v>2700000.0</v>
      </c>
      <c r="H80" s="5">
        <v>41.0</v>
      </c>
      <c r="I80" s="3" t="s">
        <v>496</v>
      </c>
      <c r="J80" s="5">
        <v>2018.0</v>
      </c>
      <c r="K80" s="29" t="s">
        <v>1291</v>
      </c>
      <c r="N80" s="27">
        <f t="shared" si="1"/>
        <v>0.5620701334</v>
      </c>
      <c r="O80" s="28"/>
      <c r="P80" s="4">
        <v>1.0</v>
      </c>
      <c r="Q80" s="4">
        <v>1.0</v>
      </c>
      <c r="R80" s="4">
        <v>0.0</v>
      </c>
      <c r="S80" s="4">
        <v>0.0</v>
      </c>
      <c r="T80" s="4">
        <v>1.0</v>
      </c>
      <c r="U80" s="4" t="s">
        <v>558</v>
      </c>
    </row>
    <row r="81">
      <c r="A81" s="3" t="s">
        <v>1296</v>
      </c>
      <c r="B81" s="3" t="s">
        <v>59</v>
      </c>
      <c r="C81" s="3" t="s">
        <v>1297</v>
      </c>
      <c r="D81" s="8" t="s">
        <v>52</v>
      </c>
      <c r="E81" s="7">
        <v>45222.0</v>
      </c>
      <c r="F81" s="20">
        <v>2700000.0</v>
      </c>
      <c r="G81" s="20">
        <v>2700000.0</v>
      </c>
      <c r="H81" s="5">
        <v>22.0</v>
      </c>
      <c r="I81" s="3" t="s">
        <v>496</v>
      </c>
      <c r="J81" s="5">
        <v>2021.0</v>
      </c>
      <c r="K81" s="15" t="s">
        <v>1300</v>
      </c>
      <c r="N81" s="27">
        <f t="shared" si="1"/>
        <v>1</v>
      </c>
      <c r="O81" s="28"/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 t="s">
        <v>550</v>
      </c>
    </row>
    <row r="82">
      <c r="A82" s="3" t="s">
        <v>1304</v>
      </c>
      <c r="B82" s="3" t="s">
        <v>59</v>
      </c>
      <c r="C82" s="3" t="s">
        <v>1305</v>
      </c>
      <c r="D82" s="8" t="s">
        <v>52</v>
      </c>
      <c r="E82" s="7">
        <v>44712.0</v>
      </c>
      <c r="F82" s="20">
        <v>3132000.0</v>
      </c>
      <c r="G82" s="20">
        <v>2700000.0</v>
      </c>
      <c r="H82" s="5">
        <v>18.0</v>
      </c>
      <c r="I82" s="3" t="s">
        <v>496</v>
      </c>
      <c r="J82" s="5">
        <v>2016.0</v>
      </c>
      <c r="K82" s="29" t="s">
        <v>1306</v>
      </c>
      <c r="N82" s="27">
        <f t="shared" si="1"/>
        <v>0.8620689655</v>
      </c>
      <c r="O82" s="28"/>
      <c r="P82" s="4">
        <v>1.0</v>
      </c>
      <c r="Q82" s="4">
        <v>1.0</v>
      </c>
      <c r="R82" s="4">
        <v>3.0</v>
      </c>
      <c r="S82" s="4">
        <v>0.0</v>
      </c>
      <c r="T82" s="4">
        <v>2.0</v>
      </c>
      <c r="U82" s="4" t="s">
        <v>569</v>
      </c>
    </row>
    <row r="83">
      <c r="A83" s="3" t="s">
        <v>617</v>
      </c>
      <c r="B83" s="3" t="s">
        <v>59</v>
      </c>
      <c r="C83" s="3" t="s">
        <v>618</v>
      </c>
      <c r="D83" s="8" t="s">
        <v>48</v>
      </c>
      <c r="E83" s="7">
        <v>45740.0</v>
      </c>
      <c r="F83" s="20">
        <v>3200000.0</v>
      </c>
      <c r="G83" s="20">
        <v>3000000.0</v>
      </c>
      <c r="H83" s="3">
        <v>27.0</v>
      </c>
      <c r="I83" s="3" t="s">
        <v>496</v>
      </c>
      <c r="J83" s="3">
        <v>2023.0</v>
      </c>
      <c r="K83" s="23" t="s">
        <v>1314</v>
      </c>
      <c r="N83" s="27">
        <f t="shared" si="1"/>
        <v>0.9375</v>
      </c>
      <c r="O83" s="28"/>
      <c r="P83" s="4">
        <v>0.0</v>
      </c>
      <c r="Q83" s="4">
        <v>0.0</v>
      </c>
      <c r="R83" s="4">
        <v>0.0</v>
      </c>
      <c r="S83" s="4">
        <v>0.0</v>
      </c>
      <c r="T83" s="4">
        <v>1.0</v>
      </c>
      <c r="U83" s="4" t="s">
        <v>558</v>
      </c>
    </row>
    <row r="84">
      <c r="A84" s="3" t="s">
        <v>956</v>
      </c>
      <c r="B84" s="3" t="s">
        <v>752</v>
      </c>
      <c r="C84" s="3" t="s">
        <v>957</v>
      </c>
      <c r="D84" s="8" t="s">
        <v>48</v>
      </c>
      <c r="E84" s="7">
        <v>45806.0</v>
      </c>
      <c r="F84" s="20">
        <v>1.62578377E8</v>
      </c>
      <c r="G84" s="20">
        <v>3000000.0</v>
      </c>
      <c r="H84" s="3">
        <v>71.0</v>
      </c>
      <c r="I84" s="3" t="s">
        <v>538</v>
      </c>
      <c r="J84" s="3">
        <v>2020.0</v>
      </c>
      <c r="K84" s="23" t="s">
        <v>1320</v>
      </c>
      <c r="N84" s="27">
        <f t="shared" si="1"/>
        <v>0.01845263838</v>
      </c>
      <c r="O84" s="28">
        <v>1500000.0</v>
      </c>
      <c r="P84" s="4">
        <v>2.0</v>
      </c>
      <c r="Q84" s="4">
        <v>1.0</v>
      </c>
      <c r="R84" s="4">
        <v>1.0</v>
      </c>
      <c r="S84" s="4">
        <v>0.0</v>
      </c>
      <c r="T84" s="4">
        <v>0.0</v>
      </c>
      <c r="U84" s="4" t="s">
        <v>558</v>
      </c>
    </row>
    <row r="85">
      <c r="A85" s="3" t="s">
        <v>962</v>
      </c>
      <c r="B85" s="3" t="s">
        <v>59</v>
      </c>
      <c r="C85" s="3" t="s">
        <v>472</v>
      </c>
      <c r="D85" s="8" t="s">
        <v>48</v>
      </c>
      <c r="E85" s="7">
        <v>45162.0</v>
      </c>
      <c r="F85" s="20">
        <v>3125000.0</v>
      </c>
      <c r="G85" s="20">
        <v>3000000.0</v>
      </c>
      <c r="H85" s="3">
        <v>50.0</v>
      </c>
      <c r="I85" s="3" t="s">
        <v>496</v>
      </c>
      <c r="J85" s="3">
        <v>2021.0</v>
      </c>
      <c r="K85" s="23" t="s">
        <v>1327</v>
      </c>
      <c r="N85" s="27">
        <f t="shared" si="1"/>
        <v>0.96</v>
      </c>
      <c r="O85" s="28">
        <v>650000.0</v>
      </c>
      <c r="P85" s="4">
        <v>0.0</v>
      </c>
      <c r="Q85" s="4">
        <v>2.0</v>
      </c>
      <c r="R85" s="4">
        <v>0.0</v>
      </c>
      <c r="S85" s="4">
        <v>5.0</v>
      </c>
      <c r="T85" s="4">
        <v>5.0</v>
      </c>
      <c r="U85" s="4" t="s">
        <v>558</v>
      </c>
    </row>
    <row r="86">
      <c r="A86" s="3" t="s">
        <v>964</v>
      </c>
      <c r="B86" s="3" t="s">
        <v>38</v>
      </c>
      <c r="C86" s="3" t="s">
        <v>965</v>
      </c>
      <c r="D86" s="8" t="s">
        <v>52</v>
      </c>
      <c r="E86" s="7">
        <v>45602.0</v>
      </c>
      <c r="F86" s="20">
        <v>6970906.0</v>
      </c>
      <c r="G86" s="20">
        <v>3000000.0</v>
      </c>
      <c r="H86" s="3">
        <v>28.0</v>
      </c>
      <c r="I86" s="3" t="s">
        <v>496</v>
      </c>
      <c r="J86" s="3">
        <v>2020.0</v>
      </c>
      <c r="K86" s="23" t="s">
        <v>1337</v>
      </c>
      <c r="N86" s="27">
        <f t="shared" si="1"/>
        <v>0.4303601282</v>
      </c>
      <c r="O86" s="28"/>
      <c r="P86" s="4">
        <v>1.0</v>
      </c>
      <c r="Q86" s="4">
        <v>0.0</v>
      </c>
      <c r="R86" s="4">
        <v>0.0</v>
      </c>
      <c r="S86" s="4">
        <v>1.0</v>
      </c>
      <c r="T86" s="4">
        <v>0.0</v>
      </c>
      <c r="U86" s="4" t="s">
        <v>569</v>
      </c>
    </row>
    <row r="87">
      <c r="A87" s="23" t="s">
        <v>1340</v>
      </c>
      <c r="B87" s="3" t="s">
        <v>76</v>
      </c>
      <c r="C87" s="3" t="s">
        <v>1343</v>
      </c>
      <c r="D87" s="8" t="s">
        <v>48</v>
      </c>
      <c r="E87" s="7">
        <v>46000.0</v>
      </c>
      <c r="F87" s="20">
        <v>5184000.0</v>
      </c>
      <c r="G87" s="20">
        <v>3060000.0</v>
      </c>
      <c r="H87" s="5">
        <v>83.0</v>
      </c>
      <c r="I87" s="3" t="s">
        <v>538</v>
      </c>
      <c r="J87" s="5">
        <v>2021.0</v>
      </c>
      <c r="K87" s="29" t="s">
        <v>1346</v>
      </c>
      <c r="N87" s="27">
        <f t="shared" si="1"/>
        <v>0.5902777778</v>
      </c>
      <c r="O87" s="28"/>
      <c r="P87" s="4">
        <v>1.0</v>
      </c>
      <c r="Q87" s="4">
        <v>1.0</v>
      </c>
      <c r="R87" s="4">
        <v>4.0</v>
      </c>
      <c r="S87" s="4">
        <v>1.0</v>
      </c>
      <c r="T87" s="4">
        <v>2.0</v>
      </c>
      <c r="U87" s="4" t="s">
        <v>558</v>
      </c>
    </row>
    <row r="88">
      <c r="A88" s="3" t="s">
        <v>1351</v>
      </c>
      <c r="B88" s="3" t="s">
        <v>76</v>
      </c>
      <c r="C88" s="3" t="s">
        <v>1352</v>
      </c>
      <c r="D88" s="8" t="s">
        <v>48</v>
      </c>
      <c r="E88" s="7">
        <v>45349.0</v>
      </c>
      <c r="F88" s="20">
        <v>6660000.0</v>
      </c>
      <c r="G88" s="20">
        <v>3060000.0</v>
      </c>
      <c r="H88" s="5">
        <v>50.0</v>
      </c>
      <c r="I88" s="3" t="s">
        <v>496</v>
      </c>
      <c r="J88" s="5">
        <v>2017.0</v>
      </c>
      <c r="K88" s="29" t="s">
        <v>1356</v>
      </c>
      <c r="N88" s="27">
        <f t="shared" si="1"/>
        <v>0.4594594595</v>
      </c>
      <c r="O88" s="28">
        <v>1.36E7</v>
      </c>
      <c r="P88" s="4">
        <v>0.0</v>
      </c>
      <c r="Q88" s="4">
        <v>0.0</v>
      </c>
      <c r="R88" s="4">
        <v>1.0</v>
      </c>
      <c r="S88" s="4">
        <v>1.0</v>
      </c>
      <c r="T88" s="4">
        <v>1.0</v>
      </c>
      <c r="U88" s="4" t="s">
        <v>558</v>
      </c>
    </row>
    <row r="89">
      <c r="A89" s="3" t="s">
        <v>1363</v>
      </c>
      <c r="B89" s="3" t="s">
        <v>59</v>
      </c>
      <c r="C89" s="3" t="s">
        <v>1364</v>
      </c>
      <c r="D89" s="8" t="s">
        <v>48</v>
      </c>
      <c r="E89" s="7">
        <v>45631.0</v>
      </c>
      <c r="F89" s="20">
        <v>2.2053722E7</v>
      </c>
      <c r="G89" s="20">
        <v>3060000.0</v>
      </c>
      <c r="H89" s="5">
        <v>57.0</v>
      </c>
      <c r="I89" s="3" t="s">
        <v>538</v>
      </c>
      <c r="J89" s="5">
        <v>2020.0</v>
      </c>
      <c r="K89" s="29" t="s">
        <v>1365</v>
      </c>
      <c r="N89" s="27">
        <f t="shared" si="1"/>
        <v>0.1387520891</v>
      </c>
      <c r="O89" s="28"/>
      <c r="P89" s="4">
        <v>0.0</v>
      </c>
      <c r="Q89" s="4">
        <v>2.0</v>
      </c>
      <c r="R89" s="4">
        <v>1.0</v>
      </c>
      <c r="S89" s="4">
        <v>0.0</v>
      </c>
      <c r="T89" s="4">
        <v>1.0</v>
      </c>
      <c r="U89" s="4" t="s">
        <v>595</v>
      </c>
    </row>
    <row r="90">
      <c r="A90" s="3" t="s">
        <v>1372</v>
      </c>
      <c r="B90" s="3" t="s">
        <v>38</v>
      </c>
      <c r="C90" s="3" t="s">
        <v>1373</v>
      </c>
      <c r="D90" s="8" t="s">
        <v>52</v>
      </c>
      <c r="E90" s="7">
        <v>45779.0</v>
      </c>
      <c r="F90" s="20">
        <v>8444063.0</v>
      </c>
      <c r="G90" s="20">
        <v>3132000.0</v>
      </c>
      <c r="H90" s="5">
        <v>43.0</v>
      </c>
      <c r="I90" s="3" t="s">
        <v>496</v>
      </c>
      <c r="J90" s="5">
        <v>2017.0</v>
      </c>
      <c r="K90" s="30" t="s">
        <v>1376</v>
      </c>
      <c r="N90" s="27">
        <f t="shared" si="1"/>
        <v>0.3709114913</v>
      </c>
      <c r="O90" s="28"/>
      <c r="P90" s="4">
        <v>1.0</v>
      </c>
      <c r="Q90" s="4">
        <v>0.0</v>
      </c>
      <c r="R90" s="4">
        <v>0.0</v>
      </c>
      <c r="S90" s="4">
        <v>1.0</v>
      </c>
      <c r="T90" s="4">
        <v>1.0</v>
      </c>
      <c r="U90" s="4" t="s">
        <v>569</v>
      </c>
    </row>
    <row r="91">
      <c r="A91" s="3" t="s">
        <v>1382</v>
      </c>
      <c r="B91" s="3" t="s">
        <v>59</v>
      </c>
      <c r="C91" s="3" t="s">
        <v>1385</v>
      </c>
      <c r="D91" s="8" t="s">
        <v>52</v>
      </c>
      <c r="E91" s="7">
        <v>44806.0</v>
      </c>
      <c r="F91" s="20">
        <v>4968000.0</v>
      </c>
      <c r="G91" s="20">
        <v>3132000.0</v>
      </c>
      <c r="H91" s="5">
        <v>30.0</v>
      </c>
      <c r="I91" s="3" t="s">
        <v>496</v>
      </c>
      <c r="J91" s="5">
        <v>2014.0</v>
      </c>
      <c r="K91" s="29" t="s">
        <v>1386</v>
      </c>
      <c r="N91" s="27">
        <f t="shared" si="1"/>
        <v>0.6304347826</v>
      </c>
      <c r="O91" s="28"/>
      <c r="P91" s="4">
        <v>0.0</v>
      </c>
      <c r="Q91" s="4">
        <v>3.0</v>
      </c>
      <c r="R91" s="4">
        <v>7.0</v>
      </c>
      <c r="S91" s="4">
        <v>1.0</v>
      </c>
      <c r="T91" s="4">
        <v>2.0</v>
      </c>
      <c r="U91" s="4" t="s">
        <v>558</v>
      </c>
    </row>
    <row r="92">
      <c r="A92" s="3" t="s">
        <v>1388</v>
      </c>
      <c r="B92" s="3" t="s">
        <v>76</v>
      </c>
      <c r="C92" s="3" t="s">
        <v>1390</v>
      </c>
      <c r="D92" s="8" t="s">
        <v>52</v>
      </c>
      <c r="E92" s="7">
        <v>44314.0</v>
      </c>
      <c r="F92" s="20">
        <v>1.1664E7</v>
      </c>
      <c r="G92" s="20">
        <v>3240000.0</v>
      </c>
      <c r="H92" s="5">
        <v>48.0</v>
      </c>
      <c r="I92" s="3" t="s">
        <v>496</v>
      </c>
      <c r="J92" s="5">
        <v>2017.0</v>
      </c>
      <c r="K92" s="29" t="s">
        <v>1391</v>
      </c>
      <c r="N92" s="27">
        <f t="shared" si="1"/>
        <v>0.2777777778</v>
      </c>
      <c r="O92" s="28">
        <v>6500000.0</v>
      </c>
      <c r="P92" s="4">
        <v>0.0</v>
      </c>
      <c r="Q92" s="4">
        <v>0.0</v>
      </c>
      <c r="R92" s="4">
        <v>1.0</v>
      </c>
      <c r="S92" s="4">
        <v>0.0</v>
      </c>
      <c r="T92" s="4">
        <v>2.0</v>
      </c>
      <c r="U92" s="4" t="s">
        <v>595</v>
      </c>
    </row>
    <row r="93">
      <c r="A93" s="3" t="s">
        <v>1393</v>
      </c>
      <c r="B93" s="3" t="s">
        <v>59</v>
      </c>
      <c r="C93" s="3" t="s">
        <v>1394</v>
      </c>
      <c r="D93" s="8" t="s">
        <v>52</v>
      </c>
      <c r="E93" s="7">
        <v>45705.0</v>
      </c>
      <c r="F93" s="20">
        <v>3240000.0</v>
      </c>
      <c r="G93" s="20">
        <v>3240000.0</v>
      </c>
      <c r="H93" s="5">
        <v>35.0</v>
      </c>
      <c r="I93" s="3" t="s">
        <v>496</v>
      </c>
      <c r="J93" s="5">
        <v>2022.0</v>
      </c>
      <c r="K93" s="29" t="s">
        <v>1395</v>
      </c>
      <c r="N93" s="27">
        <f t="shared" si="1"/>
        <v>1</v>
      </c>
      <c r="O93" s="28"/>
      <c r="P93" s="4">
        <v>0.0</v>
      </c>
      <c r="Q93" s="4">
        <v>1.0</v>
      </c>
      <c r="R93" s="4">
        <v>2.0</v>
      </c>
      <c r="S93" s="4">
        <v>0.0</v>
      </c>
      <c r="T93" s="4">
        <v>0.0</v>
      </c>
      <c r="U93" s="4" t="s">
        <v>558</v>
      </c>
    </row>
    <row r="94">
      <c r="A94" s="3" t="s">
        <v>1398</v>
      </c>
      <c r="B94" s="3" t="s">
        <v>59</v>
      </c>
      <c r="C94" s="3" t="s">
        <v>1400</v>
      </c>
      <c r="D94" s="8" t="s">
        <v>52</v>
      </c>
      <c r="E94" s="7">
        <v>45328.0</v>
      </c>
      <c r="F94" s="20">
        <v>3807000.0</v>
      </c>
      <c r="G94" s="20">
        <v>3240000.0</v>
      </c>
      <c r="H94" s="5">
        <v>23.0</v>
      </c>
      <c r="I94" s="3" t="s">
        <v>496</v>
      </c>
      <c r="J94" s="5">
        <v>2018.0</v>
      </c>
      <c r="K94" s="15" t="s">
        <v>1402</v>
      </c>
      <c r="N94" s="27">
        <f t="shared" si="1"/>
        <v>0.8510638298</v>
      </c>
      <c r="O94" s="28"/>
      <c r="P94" s="4">
        <v>0.0</v>
      </c>
      <c r="Q94" s="4">
        <v>0.0</v>
      </c>
      <c r="R94" s="4">
        <v>0.0</v>
      </c>
      <c r="S94" s="4">
        <v>0.0</v>
      </c>
      <c r="T94" s="4">
        <v>0.0</v>
      </c>
      <c r="U94" s="4" t="s">
        <v>558</v>
      </c>
    </row>
    <row r="95">
      <c r="A95" s="3" t="s">
        <v>1407</v>
      </c>
      <c r="B95" s="3" t="s">
        <v>38</v>
      </c>
      <c r="C95" s="3" t="s">
        <v>1408</v>
      </c>
      <c r="D95" s="8" t="s">
        <v>48</v>
      </c>
      <c r="E95" s="7">
        <v>45985.0</v>
      </c>
      <c r="F95" s="20">
        <v>8100000.0</v>
      </c>
      <c r="G95" s="20">
        <v>3240000.0</v>
      </c>
      <c r="H95" s="5">
        <v>117.0</v>
      </c>
      <c r="I95" s="3" t="s">
        <v>514</v>
      </c>
      <c r="J95" s="5">
        <v>2019.0</v>
      </c>
      <c r="K95" s="29" t="s">
        <v>1409</v>
      </c>
      <c r="N95" s="27">
        <f t="shared" si="1"/>
        <v>0.4</v>
      </c>
      <c r="O95" s="28"/>
      <c r="P95" s="4">
        <v>0.0</v>
      </c>
      <c r="Q95" s="4">
        <v>1.0</v>
      </c>
      <c r="R95" s="4">
        <v>3.0</v>
      </c>
      <c r="S95" s="4">
        <v>0.0</v>
      </c>
      <c r="T95" s="4">
        <v>3.0</v>
      </c>
      <c r="U95" s="4" t="s">
        <v>558</v>
      </c>
    </row>
    <row r="96">
      <c r="A96" s="3" t="s">
        <v>976</v>
      </c>
      <c r="B96" s="3" t="s">
        <v>59</v>
      </c>
      <c r="C96" s="3" t="s">
        <v>977</v>
      </c>
      <c r="D96" s="8" t="s">
        <v>52</v>
      </c>
      <c r="E96" s="7">
        <v>44927.0</v>
      </c>
      <c r="F96" s="20">
        <v>4904500.0</v>
      </c>
      <c r="G96" s="20">
        <v>3300000.0</v>
      </c>
      <c r="H96" s="3">
        <v>30.0</v>
      </c>
      <c r="I96" s="3" t="s">
        <v>496</v>
      </c>
      <c r="J96" s="3">
        <v>2018.0</v>
      </c>
      <c r="K96" s="23" t="s">
        <v>1415</v>
      </c>
      <c r="N96" s="27">
        <f t="shared" si="1"/>
        <v>0.6728514629</v>
      </c>
      <c r="O96" s="28">
        <v>3606000.0</v>
      </c>
      <c r="P96" s="4">
        <v>1.0</v>
      </c>
      <c r="Q96" s="4">
        <v>0.0</v>
      </c>
      <c r="R96" s="4">
        <v>0.0</v>
      </c>
      <c r="S96" s="4">
        <v>1.0</v>
      </c>
      <c r="T96" s="4">
        <v>1.0</v>
      </c>
      <c r="U96" s="4" t="s">
        <v>558</v>
      </c>
    </row>
    <row r="97">
      <c r="A97" s="3" t="s">
        <v>981</v>
      </c>
      <c r="B97" s="3" t="s">
        <v>59</v>
      </c>
      <c r="C97" s="3" t="s">
        <v>982</v>
      </c>
      <c r="D97" s="8" t="s">
        <v>48</v>
      </c>
      <c r="E97" s="7">
        <v>45945.0</v>
      </c>
      <c r="F97" s="20">
        <v>3400000.0</v>
      </c>
      <c r="G97" s="20">
        <v>3400000.0</v>
      </c>
      <c r="H97" s="3">
        <v>45.0</v>
      </c>
      <c r="I97" s="3" t="s">
        <v>496</v>
      </c>
      <c r="J97" s="23" t="s">
        <v>1420</v>
      </c>
      <c r="K97" s="23" t="s">
        <v>1420</v>
      </c>
      <c r="N97" s="27">
        <f t="shared" si="1"/>
        <v>1</v>
      </c>
      <c r="O97" s="28"/>
      <c r="P97" s="4">
        <v>0.0</v>
      </c>
      <c r="Q97" s="4">
        <v>1.0</v>
      </c>
      <c r="R97" s="4">
        <v>1.0</v>
      </c>
      <c r="S97" s="4">
        <v>0.0</v>
      </c>
      <c r="T97" s="4">
        <v>3.0</v>
      </c>
      <c r="U97" s="4" t="s">
        <v>558</v>
      </c>
    </row>
    <row r="98">
      <c r="A98" s="3" t="s">
        <v>610</v>
      </c>
      <c r="B98" s="3" t="s">
        <v>59</v>
      </c>
      <c r="C98" s="3" t="s">
        <v>611</v>
      </c>
      <c r="D98" s="8" t="s">
        <v>48</v>
      </c>
      <c r="E98" s="7">
        <v>44944.0</v>
      </c>
      <c r="F98" s="20">
        <v>3700000.0</v>
      </c>
      <c r="G98" s="20">
        <v>3600000.0</v>
      </c>
      <c r="H98" s="3">
        <v>3.0</v>
      </c>
      <c r="I98" s="5" t="s">
        <v>584</v>
      </c>
      <c r="J98" s="3">
        <v>2020.0</v>
      </c>
      <c r="K98" s="23" t="s">
        <v>1422</v>
      </c>
      <c r="N98" s="27">
        <f t="shared" si="1"/>
        <v>0.972972973</v>
      </c>
      <c r="O98" s="4" t="e">
        <v>#N/A</v>
      </c>
      <c r="P98" s="4" t="e">
        <v>#N/A</v>
      </c>
      <c r="Q98" s="4" t="e">
        <v>#N/A</v>
      </c>
      <c r="R98" s="4" t="e">
        <v>#N/A</v>
      </c>
      <c r="S98" s="4" t="e">
        <v>#N/A</v>
      </c>
      <c r="T98" s="4" t="e">
        <v>#N/A</v>
      </c>
      <c r="U98" s="4" t="e">
        <v>#N/A</v>
      </c>
    </row>
    <row r="99">
      <c r="A99" s="3" t="s">
        <v>1427</v>
      </c>
      <c r="B99" s="3" t="s">
        <v>76</v>
      </c>
      <c r="C99" s="3" t="s">
        <v>1429</v>
      </c>
      <c r="D99" s="8" t="s">
        <v>48</v>
      </c>
      <c r="E99" s="7">
        <v>45931.0</v>
      </c>
      <c r="F99" s="20">
        <v>7598489.0</v>
      </c>
      <c r="G99" s="20">
        <v>3600000.0</v>
      </c>
      <c r="H99" s="5">
        <v>51.0</v>
      </c>
      <c r="I99" s="3" t="s">
        <v>538</v>
      </c>
      <c r="J99" s="5">
        <v>2018.0</v>
      </c>
      <c r="K99" s="29" t="s">
        <v>1431</v>
      </c>
      <c r="N99" s="27">
        <f t="shared" si="1"/>
        <v>0.4737784052</v>
      </c>
      <c r="O99" s="28"/>
      <c r="P99" s="4">
        <v>1.0</v>
      </c>
      <c r="Q99" s="4">
        <v>0.0</v>
      </c>
      <c r="R99" s="4">
        <v>1.0</v>
      </c>
      <c r="S99" s="4">
        <v>2.0</v>
      </c>
      <c r="T99" s="4">
        <v>4.0</v>
      </c>
      <c r="U99" s="4" t="s">
        <v>558</v>
      </c>
    </row>
    <row r="100">
      <c r="A100" s="3" t="s">
        <v>1434</v>
      </c>
      <c r="B100" s="3" t="s">
        <v>59</v>
      </c>
      <c r="C100" s="3" t="s">
        <v>1436</v>
      </c>
      <c r="D100" s="8" t="s">
        <v>52</v>
      </c>
      <c r="E100" s="7">
        <v>42956.0</v>
      </c>
      <c r="F100" s="20">
        <v>3742200.0</v>
      </c>
      <c r="G100" s="20">
        <v>3742200.0</v>
      </c>
      <c r="H100" s="5">
        <v>52.0</v>
      </c>
      <c r="I100" s="3" t="s">
        <v>538</v>
      </c>
      <c r="J100" s="5">
        <v>2011.0</v>
      </c>
      <c r="K100" s="29" t="s">
        <v>1438</v>
      </c>
      <c r="N100" s="27">
        <f t="shared" si="1"/>
        <v>1</v>
      </c>
      <c r="O100" s="28">
        <v>4000000.0</v>
      </c>
      <c r="P100" s="4">
        <v>1.0</v>
      </c>
      <c r="Q100" s="4">
        <v>0.0</v>
      </c>
      <c r="R100" s="4">
        <v>2.0</v>
      </c>
      <c r="S100" s="4">
        <v>2.0</v>
      </c>
      <c r="T100" s="4">
        <v>2.0</v>
      </c>
      <c r="U100" s="4" t="s">
        <v>595</v>
      </c>
    </row>
    <row r="101">
      <c r="A101" s="3" t="s">
        <v>1442</v>
      </c>
      <c r="B101" s="3" t="s">
        <v>59</v>
      </c>
      <c r="C101" s="3" t="s">
        <v>1443</v>
      </c>
      <c r="D101" s="8" t="s">
        <v>52</v>
      </c>
      <c r="E101" s="7">
        <v>45994.0</v>
      </c>
      <c r="F101" s="20">
        <v>5400000.0</v>
      </c>
      <c r="G101" s="20">
        <v>3780000.0</v>
      </c>
      <c r="H101" s="5">
        <v>29.0</v>
      </c>
      <c r="I101" s="3" t="s">
        <v>496</v>
      </c>
      <c r="J101" s="5">
        <v>2021.0</v>
      </c>
      <c r="K101" s="29" t="s">
        <v>1444</v>
      </c>
      <c r="N101" s="27">
        <f t="shared" si="1"/>
        <v>0.7</v>
      </c>
      <c r="O101" s="28">
        <v>1200000.0</v>
      </c>
      <c r="P101" s="4">
        <v>2.0</v>
      </c>
      <c r="Q101" s="4">
        <v>0.0</v>
      </c>
      <c r="R101" s="4">
        <v>0.0</v>
      </c>
      <c r="S101" s="4">
        <v>0.0</v>
      </c>
      <c r="T101" s="4">
        <v>0.0</v>
      </c>
      <c r="U101" s="4" t="s">
        <v>558</v>
      </c>
    </row>
    <row r="102">
      <c r="A102" s="3" t="s">
        <v>1451</v>
      </c>
      <c r="B102" s="3" t="s">
        <v>38</v>
      </c>
      <c r="C102" s="3" t="s">
        <v>1452</v>
      </c>
      <c r="D102" s="8" t="s">
        <v>52</v>
      </c>
      <c r="E102" s="7">
        <v>43775.0</v>
      </c>
      <c r="F102" s="20">
        <v>3780000.0</v>
      </c>
      <c r="G102" s="20">
        <v>3780000.0</v>
      </c>
      <c r="H102" s="5">
        <v>72.0</v>
      </c>
      <c r="I102" s="3" t="s">
        <v>538</v>
      </c>
      <c r="J102" s="5">
        <v>2014.0</v>
      </c>
      <c r="K102" s="29" t="s">
        <v>1453</v>
      </c>
      <c r="N102" s="27">
        <f t="shared" si="1"/>
        <v>1</v>
      </c>
      <c r="O102" s="28"/>
      <c r="P102" s="4">
        <v>0.0</v>
      </c>
      <c r="Q102" s="4">
        <v>1.0</v>
      </c>
      <c r="R102" s="4">
        <v>2.0</v>
      </c>
      <c r="S102" s="4">
        <v>1.0</v>
      </c>
      <c r="T102" s="4">
        <v>0.0</v>
      </c>
      <c r="U102" s="4" t="s">
        <v>558</v>
      </c>
    </row>
    <row r="103">
      <c r="A103" s="3" t="s">
        <v>1456</v>
      </c>
      <c r="B103" s="3" t="s">
        <v>59</v>
      </c>
      <c r="C103" s="3" t="s">
        <v>1457</v>
      </c>
      <c r="D103" s="8" t="s">
        <v>48</v>
      </c>
      <c r="E103" s="7">
        <v>44874.0</v>
      </c>
      <c r="F103" s="20">
        <v>6000000.0</v>
      </c>
      <c r="G103" s="20">
        <v>3780000.0</v>
      </c>
      <c r="H103" s="5">
        <v>76.0</v>
      </c>
      <c r="I103" s="3" t="s">
        <v>538</v>
      </c>
      <c r="J103" s="5">
        <v>2021.0</v>
      </c>
      <c r="K103" s="29" t="s">
        <v>1458</v>
      </c>
      <c r="N103" s="27">
        <f t="shared" si="1"/>
        <v>0.63</v>
      </c>
      <c r="O103" s="28"/>
      <c r="P103" s="4">
        <v>0.0</v>
      </c>
      <c r="Q103" s="4">
        <v>1.0</v>
      </c>
      <c r="R103" s="4">
        <v>1.0</v>
      </c>
      <c r="S103" s="4">
        <v>2.0</v>
      </c>
      <c r="T103" s="4">
        <v>2.0</v>
      </c>
      <c r="U103" s="4" t="s">
        <v>595</v>
      </c>
    </row>
    <row r="104">
      <c r="A104" s="3" t="s">
        <v>1046</v>
      </c>
      <c r="B104" s="3" t="s">
        <v>38</v>
      </c>
      <c r="C104" s="3" t="s">
        <v>1047</v>
      </c>
      <c r="D104" s="8" t="s">
        <v>52</v>
      </c>
      <c r="E104" s="7">
        <v>40008.0</v>
      </c>
      <c r="F104" s="20">
        <v>5250000.0</v>
      </c>
      <c r="G104" s="20">
        <v>4000000.0</v>
      </c>
      <c r="H104" s="3">
        <v>53.0</v>
      </c>
      <c r="I104" s="3" t="s">
        <v>538</v>
      </c>
      <c r="J104" s="3">
        <v>2006.0</v>
      </c>
      <c r="K104" s="23" t="s">
        <v>1462</v>
      </c>
      <c r="N104" s="27">
        <f t="shared" si="1"/>
        <v>0.7619047619</v>
      </c>
      <c r="O104" s="28">
        <v>4500000.0</v>
      </c>
      <c r="P104" s="4">
        <v>0.0</v>
      </c>
      <c r="Q104" s="4">
        <v>0.0</v>
      </c>
      <c r="R104" s="4">
        <v>2.0</v>
      </c>
      <c r="S104" s="4">
        <v>0.0</v>
      </c>
      <c r="T104" s="4">
        <v>2.0</v>
      </c>
      <c r="U104" s="4" t="s">
        <v>558</v>
      </c>
    </row>
    <row r="105">
      <c r="A105" s="3" t="s">
        <v>1050</v>
      </c>
      <c r="B105" s="3" t="s">
        <v>59</v>
      </c>
      <c r="C105" s="3" t="s">
        <v>1051</v>
      </c>
      <c r="D105" s="8" t="s">
        <v>52</v>
      </c>
      <c r="E105" s="7">
        <v>44762.0</v>
      </c>
      <c r="F105" s="20">
        <v>4300000.0</v>
      </c>
      <c r="G105" s="20">
        <v>4300000.0</v>
      </c>
      <c r="H105" s="3">
        <v>11.0</v>
      </c>
      <c r="I105" s="3" t="s">
        <v>496</v>
      </c>
      <c r="J105" s="3">
        <v>2021.0</v>
      </c>
      <c r="K105" s="23" t="s">
        <v>1468</v>
      </c>
      <c r="N105" s="27">
        <f t="shared" si="1"/>
        <v>1</v>
      </c>
      <c r="O105" s="28"/>
      <c r="P105" s="4">
        <v>0.0</v>
      </c>
      <c r="Q105" s="4">
        <v>1.0</v>
      </c>
      <c r="R105" s="4">
        <v>1.0</v>
      </c>
      <c r="S105" s="4">
        <v>1.0</v>
      </c>
      <c r="T105" s="4">
        <v>1.0</v>
      </c>
      <c r="U105" s="4" t="s">
        <v>569</v>
      </c>
    </row>
    <row r="106">
      <c r="A106" s="3" t="s">
        <v>1463</v>
      </c>
      <c r="B106" s="3" t="s">
        <v>59</v>
      </c>
      <c r="C106" s="3" t="s">
        <v>1464</v>
      </c>
      <c r="D106" s="8" t="s">
        <v>52</v>
      </c>
      <c r="E106" s="7">
        <v>45636.0</v>
      </c>
      <c r="F106" s="20">
        <v>4404240.0</v>
      </c>
      <c r="G106" s="20">
        <v>4320000.0</v>
      </c>
      <c r="H106" s="5">
        <v>52.0</v>
      </c>
      <c r="I106" s="3" t="s">
        <v>538</v>
      </c>
      <c r="J106" s="5">
        <v>2022.0</v>
      </c>
      <c r="K106" s="29" t="s">
        <v>1474</v>
      </c>
      <c r="N106" s="27">
        <f t="shared" si="1"/>
        <v>0.9808729769</v>
      </c>
      <c r="O106" s="28"/>
      <c r="P106" s="4">
        <v>1.0</v>
      </c>
      <c r="Q106" s="4">
        <v>0.0</v>
      </c>
      <c r="R106" s="4">
        <v>1.0</v>
      </c>
      <c r="S106" s="4">
        <v>0.0</v>
      </c>
      <c r="T106" s="4">
        <v>2.0</v>
      </c>
      <c r="U106" s="4" t="s">
        <v>558</v>
      </c>
    </row>
    <row r="107">
      <c r="A107" s="3" t="s">
        <v>621</v>
      </c>
      <c r="B107" s="3" t="s">
        <v>76</v>
      </c>
      <c r="C107" s="3" t="s">
        <v>622</v>
      </c>
      <c r="D107" s="8" t="s">
        <v>48</v>
      </c>
      <c r="E107" s="7">
        <v>44364.0</v>
      </c>
      <c r="F107" s="20">
        <v>1.1E7</v>
      </c>
      <c r="G107" s="20">
        <v>4500000.0</v>
      </c>
      <c r="H107" s="3">
        <v>312.0</v>
      </c>
      <c r="I107" s="3" t="s">
        <v>905</v>
      </c>
      <c r="J107" s="3">
        <v>2017.0</v>
      </c>
      <c r="K107" s="23" t="s">
        <v>993</v>
      </c>
      <c r="N107" s="27">
        <f t="shared" si="1"/>
        <v>0.4090909091</v>
      </c>
      <c r="O107" s="28"/>
      <c r="P107" s="4">
        <v>1.0</v>
      </c>
      <c r="Q107" s="4">
        <v>0.0</v>
      </c>
      <c r="R107" s="4">
        <v>1.0</v>
      </c>
      <c r="S107" s="4">
        <v>1.0</v>
      </c>
      <c r="T107" s="4">
        <v>4.0</v>
      </c>
      <c r="U107" s="4" t="s">
        <v>558</v>
      </c>
    </row>
    <row r="108">
      <c r="A108" s="3" t="s">
        <v>1482</v>
      </c>
      <c r="B108" s="3" t="s">
        <v>38</v>
      </c>
      <c r="C108" s="3" t="s">
        <v>1484</v>
      </c>
      <c r="D108" s="8" t="s">
        <v>48</v>
      </c>
      <c r="E108" s="7">
        <v>45315.0</v>
      </c>
      <c r="F108" s="20">
        <v>1.05066883E8</v>
      </c>
      <c r="G108" s="20">
        <v>4500000.0</v>
      </c>
      <c r="H108" s="5">
        <v>1102.0</v>
      </c>
      <c r="I108" s="3" t="s">
        <v>1144</v>
      </c>
      <c r="J108" s="5">
        <v>2021.0</v>
      </c>
      <c r="K108" s="29" t="s">
        <v>1486</v>
      </c>
      <c r="N108" s="27">
        <f t="shared" si="1"/>
        <v>0.04282986105</v>
      </c>
      <c r="O108" s="28"/>
      <c r="P108" s="4">
        <v>5.0</v>
      </c>
      <c r="Q108" s="4">
        <v>10.0</v>
      </c>
      <c r="R108" s="4">
        <v>16.0</v>
      </c>
      <c r="S108" s="4">
        <v>3.0</v>
      </c>
      <c r="T108" s="4">
        <v>4.0</v>
      </c>
      <c r="U108" s="4" t="s">
        <v>595</v>
      </c>
    </row>
    <row r="109">
      <c r="A109" s="3" t="s">
        <v>1065</v>
      </c>
      <c r="B109" s="3" t="s">
        <v>59</v>
      </c>
      <c r="C109" s="3" t="s">
        <v>1066</v>
      </c>
      <c r="D109" s="8" t="s">
        <v>48</v>
      </c>
      <c r="E109" s="7">
        <v>46056.0</v>
      </c>
      <c r="F109" s="20">
        <v>5100000.0</v>
      </c>
      <c r="G109" s="20">
        <v>4600000.0</v>
      </c>
      <c r="H109" s="3">
        <v>26.0</v>
      </c>
      <c r="I109" s="3" t="s">
        <v>496</v>
      </c>
      <c r="J109" s="3">
        <v>2026.0</v>
      </c>
      <c r="K109" s="23" t="s">
        <v>1493</v>
      </c>
      <c r="N109" s="27">
        <f t="shared" si="1"/>
        <v>0.9019607843</v>
      </c>
      <c r="O109" s="28"/>
      <c r="P109" s="4">
        <v>0.0</v>
      </c>
      <c r="Q109" s="4">
        <v>1.0</v>
      </c>
      <c r="R109" s="4">
        <v>0.0</v>
      </c>
      <c r="S109" s="4">
        <v>0.0</v>
      </c>
      <c r="T109" s="4">
        <v>0.0</v>
      </c>
      <c r="U109" s="4" t="s">
        <v>550</v>
      </c>
    </row>
    <row r="110">
      <c r="A110" s="23" t="s">
        <v>1469</v>
      </c>
      <c r="B110" s="3" t="s">
        <v>38</v>
      </c>
      <c r="C110" s="3" t="s">
        <v>1470</v>
      </c>
      <c r="D110" s="8" t="s">
        <v>52</v>
      </c>
      <c r="E110" s="7">
        <v>44994.0</v>
      </c>
      <c r="F110" s="20">
        <v>5299560.0</v>
      </c>
      <c r="G110" s="20">
        <v>4752000.0</v>
      </c>
      <c r="H110" s="5">
        <v>40.0</v>
      </c>
      <c r="I110" s="3" t="s">
        <v>538</v>
      </c>
      <c r="J110" s="5">
        <v>2016.0</v>
      </c>
      <c r="K110" s="15" t="s">
        <v>1501</v>
      </c>
      <c r="N110" s="27">
        <f t="shared" si="1"/>
        <v>0.8966782148</v>
      </c>
      <c r="O110" s="28"/>
      <c r="P110" s="4">
        <v>1.0</v>
      </c>
      <c r="Q110" s="4">
        <v>3.0</v>
      </c>
      <c r="R110" s="4">
        <v>3.0</v>
      </c>
      <c r="S110" s="4">
        <v>0.0</v>
      </c>
      <c r="T110" s="4">
        <v>2.0</v>
      </c>
      <c r="U110" s="4" t="s">
        <v>558</v>
      </c>
    </row>
    <row r="111">
      <c r="A111" s="3" t="s">
        <v>628</v>
      </c>
      <c r="B111" s="3" t="s">
        <v>38</v>
      </c>
      <c r="C111" s="3" t="s">
        <v>629</v>
      </c>
      <c r="D111" s="8" t="s">
        <v>48</v>
      </c>
      <c r="E111" s="7">
        <v>43069.0</v>
      </c>
      <c r="F111" s="20">
        <v>8800000.0</v>
      </c>
      <c r="G111" s="20">
        <v>4800000.0</v>
      </c>
      <c r="H111" s="3">
        <v>458.0</v>
      </c>
      <c r="I111" s="3" t="s">
        <v>905</v>
      </c>
      <c r="J111" s="3">
        <v>2012.0</v>
      </c>
      <c r="K111" s="23" t="s">
        <v>1003</v>
      </c>
      <c r="N111" s="27">
        <f t="shared" si="1"/>
        <v>0.5454545455</v>
      </c>
      <c r="O111" s="28">
        <v>9.0E7</v>
      </c>
      <c r="P111" s="4">
        <v>0.0</v>
      </c>
      <c r="Q111" s="4">
        <v>14.0</v>
      </c>
      <c r="R111" s="4">
        <v>6.0</v>
      </c>
      <c r="S111" s="4">
        <v>9.0</v>
      </c>
      <c r="T111" s="4">
        <v>9.0</v>
      </c>
      <c r="U111" s="4" t="s">
        <v>569</v>
      </c>
    </row>
    <row r="112">
      <c r="A112" s="3" t="s">
        <v>1094</v>
      </c>
      <c r="B112" s="3" t="s">
        <v>59</v>
      </c>
      <c r="C112" s="3" t="s">
        <v>1096</v>
      </c>
      <c r="D112" s="8" t="s">
        <v>48</v>
      </c>
      <c r="E112" s="7">
        <v>46036.0</v>
      </c>
      <c r="F112" s="20">
        <v>1.0116153E7</v>
      </c>
      <c r="G112" s="20">
        <v>5000000.0</v>
      </c>
      <c r="H112" s="3">
        <v>39.0</v>
      </c>
      <c r="I112" s="3" t="s">
        <v>496</v>
      </c>
      <c r="J112" s="3">
        <v>2023.0</v>
      </c>
      <c r="K112" s="23" t="s">
        <v>1520</v>
      </c>
      <c r="N112" s="27">
        <f t="shared" si="1"/>
        <v>0.4942590331</v>
      </c>
      <c r="O112" s="28"/>
      <c r="P112" s="4">
        <v>0.0</v>
      </c>
      <c r="Q112" s="4">
        <v>0.0</v>
      </c>
      <c r="R112" s="4">
        <v>0.0</v>
      </c>
      <c r="S112" s="4">
        <v>1.0</v>
      </c>
      <c r="T112" s="4">
        <v>1.0</v>
      </c>
      <c r="U112" s="4" t="s">
        <v>595</v>
      </c>
    </row>
    <row r="113">
      <c r="A113" s="3" t="s">
        <v>1523</v>
      </c>
      <c r="B113" s="3" t="s">
        <v>59</v>
      </c>
      <c r="C113" s="3" t="s">
        <v>1524</v>
      </c>
      <c r="D113" s="8" t="s">
        <v>48</v>
      </c>
      <c r="E113" s="7">
        <v>44308.0</v>
      </c>
      <c r="F113" s="20">
        <v>5040000.0</v>
      </c>
      <c r="G113" s="20">
        <v>5040000.0</v>
      </c>
      <c r="H113" s="5">
        <v>98.0</v>
      </c>
      <c r="I113" s="3" t="s">
        <v>538</v>
      </c>
      <c r="J113" s="5">
        <v>2020.0</v>
      </c>
      <c r="K113" s="29" t="s">
        <v>1526</v>
      </c>
      <c r="N113" s="27">
        <f t="shared" si="1"/>
        <v>1</v>
      </c>
      <c r="O113" s="28"/>
      <c r="P113" s="4">
        <v>1.0</v>
      </c>
      <c r="Q113" s="4">
        <v>0.0</v>
      </c>
      <c r="R113" s="4">
        <v>0.0</v>
      </c>
      <c r="S113" s="4">
        <v>2.0</v>
      </c>
      <c r="T113" s="4">
        <v>1.0</v>
      </c>
      <c r="U113" s="4" t="s">
        <v>550</v>
      </c>
    </row>
    <row r="114">
      <c r="A114" s="3" t="s">
        <v>1108</v>
      </c>
      <c r="B114" s="3" t="s">
        <v>38</v>
      </c>
      <c r="C114" s="3" t="s">
        <v>1109</v>
      </c>
      <c r="D114" s="8" t="s">
        <v>52</v>
      </c>
      <c r="E114" s="7">
        <v>45700.0</v>
      </c>
      <c r="F114" s="20">
        <v>2.25E7</v>
      </c>
      <c r="G114" s="20">
        <v>5200000.0</v>
      </c>
      <c r="H114" s="3">
        <v>91.0</v>
      </c>
      <c r="I114" s="3" t="s">
        <v>538</v>
      </c>
      <c r="J114" s="3">
        <v>2014.0</v>
      </c>
      <c r="K114" s="23" t="s">
        <v>1533</v>
      </c>
      <c r="N114" s="27">
        <f t="shared" si="1"/>
        <v>0.2311111111</v>
      </c>
      <c r="O114" s="28">
        <v>4000000.0</v>
      </c>
      <c r="P114" s="4">
        <v>1.0</v>
      </c>
      <c r="Q114" s="4">
        <v>2.0</v>
      </c>
      <c r="R114" s="4">
        <v>0.0</v>
      </c>
      <c r="S114" s="4">
        <v>1.0</v>
      </c>
      <c r="T114" s="4">
        <v>3.0</v>
      </c>
      <c r="U114" s="4" t="s">
        <v>558</v>
      </c>
    </row>
    <row r="115">
      <c r="A115" s="3" t="s">
        <v>1475</v>
      </c>
      <c r="B115" s="3" t="s">
        <v>76</v>
      </c>
      <c r="C115" s="3" t="s">
        <v>1476</v>
      </c>
      <c r="D115" s="8" t="s">
        <v>52</v>
      </c>
      <c r="E115" s="7">
        <v>44809.0</v>
      </c>
      <c r="F115" s="20">
        <v>5400000.0</v>
      </c>
      <c r="G115" s="20">
        <v>5400000.0</v>
      </c>
      <c r="H115" s="5">
        <v>34.0</v>
      </c>
      <c r="I115" s="3" t="s">
        <v>496</v>
      </c>
      <c r="J115" s="5">
        <v>2016.0</v>
      </c>
      <c r="K115" s="29" t="s">
        <v>1537</v>
      </c>
      <c r="N115" s="27">
        <f t="shared" si="1"/>
        <v>1</v>
      </c>
      <c r="O115" s="28"/>
      <c r="P115" s="4">
        <v>1.0</v>
      </c>
      <c r="Q115" s="4">
        <v>1.0</v>
      </c>
      <c r="R115" s="4">
        <v>2.0</v>
      </c>
      <c r="S115" s="4">
        <v>0.0</v>
      </c>
      <c r="T115" s="4">
        <v>1.0</v>
      </c>
      <c r="U115" s="4" t="s">
        <v>558</v>
      </c>
    </row>
    <row r="116">
      <c r="A116" s="3" t="s">
        <v>1477</v>
      </c>
      <c r="B116" s="3" t="s">
        <v>76</v>
      </c>
      <c r="C116" s="3" t="s">
        <v>1478</v>
      </c>
      <c r="D116" s="8" t="s">
        <v>52</v>
      </c>
      <c r="E116" s="7">
        <v>45740.0</v>
      </c>
      <c r="F116" s="20">
        <v>6480000.0</v>
      </c>
      <c r="G116" s="20">
        <v>5400000.0</v>
      </c>
      <c r="H116" s="5">
        <v>67.0</v>
      </c>
      <c r="I116" s="3" t="s">
        <v>514</v>
      </c>
      <c r="J116" s="5">
        <v>2017.0</v>
      </c>
      <c r="K116" s="29" t="s">
        <v>1547</v>
      </c>
      <c r="N116" s="27">
        <f t="shared" si="1"/>
        <v>0.8333333333</v>
      </c>
      <c r="O116" s="28"/>
      <c r="P116" s="4">
        <v>2.0</v>
      </c>
      <c r="Q116" s="4">
        <v>1.0</v>
      </c>
      <c r="R116" s="4">
        <v>4.0</v>
      </c>
      <c r="S116" s="4">
        <v>2.0</v>
      </c>
      <c r="T116" s="4">
        <v>2.0</v>
      </c>
      <c r="U116" s="4" t="s">
        <v>558</v>
      </c>
    </row>
    <row r="117">
      <c r="A117" s="3" t="s">
        <v>1480</v>
      </c>
      <c r="B117" s="3" t="s">
        <v>59</v>
      </c>
      <c r="C117" s="3" t="s">
        <v>1481</v>
      </c>
      <c r="D117" s="8" t="s">
        <v>52</v>
      </c>
      <c r="E117" s="7">
        <v>45401.0</v>
      </c>
      <c r="F117" s="20">
        <v>8941252.0</v>
      </c>
      <c r="G117" s="20">
        <v>5400000.0</v>
      </c>
      <c r="H117" s="5">
        <v>37.0</v>
      </c>
      <c r="I117" s="3" t="s">
        <v>496</v>
      </c>
      <c r="J117" s="5">
        <v>2021.0</v>
      </c>
      <c r="K117" s="29" t="s">
        <v>1555</v>
      </c>
      <c r="N117" s="27">
        <f t="shared" si="1"/>
        <v>0.6039422667</v>
      </c>
      <c r="O117" s="28"/>
      <c r="P117" s="4">
        <v>0.0</v>
      </c>
      <c r="Q117" s="4">
        <v>0.0</v>
      </c>
      <c r="R117" s="4">
        <v>2.0</v>
      </c>
      <c r="S117" s="4">
        <v>2.0</v>
      </c>
      <c r="T117" s="4">
        <v>2.0</v>
      </c>
      <c r="U117" s="4" t="s">
        <v>595</v>
      </c>
    </row>
    <row r="118">
      <c r="A118" s="3" t="s">
        <v>1487</v>
      </c>
      <c r="B118" s="3" t="s">
        <v>38</v>
      </c>
      <c r="C118" s="3" t="s">
        <v>1488</v>
      </c>
      <c r="D118" s="8" t="s">
        <v>52</v>
      </c>
      <c r="E118" s="7">
        <v>44859.0</v>
      </c>
      <c r="F118" s="20">
        <v>7776000.0</v>
      </c>
      <c r="G118" s="20">
        <v>5400000.0</v>
      </c>
      <c r="H118" s="5">
        <v>33.0</v>
      </c>
      <c r="I118" s="3" t="s">
        <v>496</v>
      </c>
      <c r="J118" s="5">
        <v>2021.0</v>
      </c>
      <c r="K118" s="29" t="s">
        <v>1560</v>
      </c>
      <c r="N118" s="27">
        <f t="shared" si="1"/>
        <v>0.6944444444</v>
      </c>
      <c r="O118" s="28">
        <v>1000000.0</v>
      </c>
      <c r="P118" s="4">
        <v>1.0</v>
      </c>
      <c r="Q118" s="4">
        <v>0.0</v>
      </c>
      <c r="R118" s="4">
        <v>3.0</v>
      </c>
      <c r="S118" s="4">
        <v>1.0</v>
      </c>
      <c r="T118" s="4">
        <v>4.0</v>
      </c>
      <c r="U118" s="4" t="s">
        <v>595</v>
      </c>
    </row>
    <row r="119">
      <c r="A119" s="3" t="s">
        <v>1491</v>
      </c>
      <c r="B119" s="3" t="s">
        <v>38</v>
      </c>
      <c r="C119" s="3" t="s">
        <v>1492</v>
      </c>
      <c r="D119" s="8" t="s">
        <v>52</v>
      </c>
      <c r="E119" s="7">
        <v>45597.0</v>
      </c>
      <c r="F119" s="20">
        <v>5400000.0</v>
      </c>
      <c r="G119" s="20">
        <v>5400000.0</v>
      </c>
      <c r="H119" s="5">
        <v>41.0</v>
      </c>
      <c r="I119" s="3" t="s">
        <v>496</v>
      </c>
      <c r="J119" s="5">
        <v>2019.0</v>
      </c>
      <c r="K119" s="29" t="s">
        <v>1570</v>
      </c>
      <c r="N119" s="27">
        <f t="shared" si="1"/>
        <v>1</v>
      </c>
      <c r="O119" s="28"/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 t="s">
        <v>550</v>
      </c>
    </row>
    <row r="120">
      <c r="A120" s="3" t="s">
        <v>1576</v>
      </c>
      <c r="B120" s="3" t="s">
        <v>59</v>
      </c>
      <c r="C120" s="3" t="s">
        <v>1577</v>
      </c>
      <c r="D120" s="8" t="s">
        <v>48</v>
      </c>
      <c r="E120" s="7">
        <v>46049.0</v>
      </c>
      <c r="F120" s="20">
        <v>8640000.0</v>
      </c>
      <c r="G120" s="20">
        <v>5400000.0</v>
      </c>
      <c r="H120" s="5">
        <v>48.0</v>
      </c>
      <c r="I120" s="3" t="s">
        <v>496</v>
      </c>
      <c r="J120" s="5">
        <v>2024.0</v>
      </c>
      <c r="K120" s="29" t="s">
        <v>1581</v>
      </c>
      <c r="N120" s="27">
        <f t="shared" si="1"/>
        <v>0.625</v>
      </c>
      <c r="O120" s="28"/>
      <c r="P120" s="4">
        <v>0.0</v>
      </c>
      <c r="Q120" s="4">
        <v>1.0</v>
      </c>
      <c r="R120" s="4">
        <v>0.0</v>
      </c>
      <c r="S120" s="4">
        <v>0.0</v>
      </c>
      <c r="T120" s="4">
        <v>3.0</v>
      </c>
      <c r="U120" s="4" t="s">
        <v>558</v>
      </c>
    </row>
    <row r="121">
      <c r="A121" s="3" t="s">
        <v>1587</v>
      </c>
      <c r="B121" s="3" t="s">
        <v>38</v>
      </c>
      <c r="C121" s="3" t="s">
        <v>1588</v>
      </c>
      <c r="D121" s="8" t="s">
        <v>48</v>
      </c>
      <c r="E121" s="7">
        <v>45714.0</v>
      </c>
      <c r="F121" s="20">
        <v>1.314E8</v>
      </c>
      <c r="G121" s="20">
        <v>5400000.0</v>
      </c>
      <c r="H121" s="5">
        <v>312.0</v>
      </c>
      <c r="I121" s="3" t="s">
        <v>905</v>
      </c>
      <c r="J121" s="5">
        <v>2017.0</v>
      </c>
      <c r="K121" s="29" t="s">
        <v>1592</v>
      </c>
      <c r="N121" s="27">
        <f t="shared" si="1"/>
        <v>0.04109589041</v>
      </c>
      <c r="O121" s="28">
        <v>1.0E8</v>
      </c>
      <c r="P121" s="4">
        <v>1.0</v>
      </c>
      <c r="Q121" s="4">
        <v>1.0</v>
      </c>
      <c r="R121" s="4">
        <v>3.0</v>
      </c>
      <c r="S121" s="4">
        <v>0.0</v>
      </c>
      <c r="T121" s="4">
        <v>1.0</v>
      </c>
      <c r="U121" s="4" t="s">
        <v>595</v>
      </c>
    </row>
    <row r="122">
      <c r="A122" s="3" t="s">
        <v>634</v>
      </c>
      <c r="B122" s="3" t="s">
        <v>76</v>
      </c>
      <c r="C122" s="3" t="s">
        <v>635</v>
      </c>
      <c r="D122" s="8" t="s">
        <v>48</v>
      </c>
      <c r="E122" s="7">
        <v>45825.0</v>
      </c>
      <c r="F122" s="20">
        <v>6000000.0</v>
      </c>
      <c r="G122" s="20">
        <v>5500000.0</v>
      </c>
      <c r="H122" s="3">
        <v>265.0</v>
      </c>
      <c r="I122" s="3" t="s">
        <v>905</v>
      </c>
      <c r="J122" s="3">
        <v>2018.0</v>
      </c>
      <c r="K122" s="23" t="s">
        <v>1015</v>
      </c>
      <c r="N122" s="27">
        <f t="shared" si="1"/>
        <v>0.9166666667</v>
      </c>
      <c r="O122" s="28"/>
      <c r="P122" s="4">
        <v>1.0</v>
      </c>
      <c r="Q122" s="4">
        <v>0.0</v>
      </c>
      <c r="R122" s="4">
        <v>1.0</v>
      </c>
      <c r="S122" s="4">
        <v>0.0</v>
      </c>
      <c r="T122" s="4">
        <v>1.0</v>
      </c>
      <c r="U122" s="4" t="s">
        <v>550</v>
      </c>
    </row>
    <row r="123">
      <c r="A123" s="23" t="s">
        <v>1496</v>
      </c>
      <c r="B123" s="3" t="s">
        <v>38</v>
      </c>
      <c r="C123" s="3" t="s">
        <v>1504</v>
      </c>
      <c r="D123" s="8" t="s">
        <v>52</v>
      </c>
      <c r="E123" s="7">
        <v>45867.0</v>
      </c>
      <c r="F123" s="20">
        <v>7128000.0</v>
      </c>
      <c r="G123" s="20">
        <v>5508000.0</v>
      </c>
      <c r="H123" s="5">
        <v>42.0</v>
      </c>
      <c r="I123" s="3" t="s">
        <v>496</v>
      </c>
      <c r="J123" s="5">
        <v>2021.0</v>
      </c>
      <c r="K123" s="29" t="s">
        <v>1602</v>
      </c>
      <c r="N123" s="27">
        <f t="shared" si="1"/>
        <v>0.7727272727</v>
      </c>
      <c r="O123" s="28"/>
      <c r="P123" s="4">
        <v>1.0</v>
      </c>
      <c r="Q123" s="4">
        <v>0.0</v>
      </c>
      <c r="R123" s="4">
        <v>2.0</v>
      </c>
      <c r="S123" s="4">
        <v>0.0</v>
      </c>
      <c r="T123" s="4">
        <v>0.0</v>
      </c>
      <c r="U123" s="4" t="s">
        <v>558</v>
      </c>
    </row>
    <row r="124">
      <c r="A124" s="3" t="s">
        <v>1609</v>
      </c>
      <c r="B124" s="3" t="s">
        <v>76</v>
      </c>
      <c r="C124" s="3" t="s">
        <v>1610</v>
      </c>
      <c r="D124" s="8" t="s">
        <v>48</v>
      </c>
      <c r="E124" s="7">
        <v>44474.0</v>
      </c>
      <c r="F124" s="20">
        <v>7300000.0</v>
      </c>
      <c r="G124" s="20">
        <v>5760000.0</v>
      </c>
      <c r="H124" s="5">
        <v>83.0</v>
      </c>
      <c r="I124" s="3" t="s">
        <v>538</v>
      </c>
      <c r="J124" s="5">
        <v>2019.0</v>
      </c>
      <c r="K124" s="29" t="s">
        <v>1612</v>
      </c>
      <c r="N124" s="27">
        <f t="shared" si="1"/>
        <v>0.7890410959</v>
      </c>
      <c r="O124" s="28">
        <v>3600000.0</v>
      </c>
      <c r="P124" s="4">
        <v>0.0</v>
      </c>
      <c r="Q124" s="4">
        <v>0.0</v>
      </c>
      <c r="R124" s="4">
        <v>0.0</v>
      </c>
      <c r="S124" s="4">
        <v>3.0</v>
      </c>
      <c r="T124" s="4">
        <v>2.0</v>
      </c>
      <c r="U124" s="4" t="s">
        <v>569</v>
      </c>
    </row>
    <row r="125">
      <c r="A125" s="3" t="s">
        <v>1615</v>
      </c>
      <c r="B125" s="3" t="s">
        <v>76</v>
      </c>
      <c r="C125" s="3" t="s">
        <v>1616</v>
      </c>
      <c r="D125" s="8" t="s">
        <v>48</v>
      </c>
      <c r="E125" s="7">
        <v>45999.0</v>
      </c>
      <c r="F125" s="20">
        <v>2.511E7</v>
      </c>
      <c r="G125" s="20">
        <v>5760000.0</v>
      </c>
      <c r="H125" s="5">
        <v>143.0</v>
      </c>
      <c r="I125" s="3" t="s">
        <v>514</v>
      </c>
      <c r="J125" s="5">
        <v>2021.0</v>
      </c>
      <c r="K125" s="29" t="s">
        <v>1619</v>
      </c>
      <c r="N125" s="27">
        <f t="shared" si="1"/>
        <v>0.229390681</v>
      </c>
      <c r="O125" s="28">
        <v>3.3E7</v>
      </c>
      <c r="P125" s="4">
        <v>1.0</v>
      </c>
      <c r="Q125" s="4">
        <v>0.0</v>
      </c>
      <c r="R125" s="4">
        <v>0.0</v>
      </c>
      <c r="S125" s="4">
        <v>1.0</v>
      </c>
      <c r="T125" s="4">
        <v>3.0</v>
      </c>
      <c r="U125" s="4" t="s">
        <v>595</v>
      </c>
    </row>
    <row r="126">
      <c r="A126" s="3" t="s">
        <v>1626</v>
      </c>
      <c r="B126" s="3" t="s">
        <v>76</v>
      </c>
      <c r="C126" s="3" t="s">
        <v>1627</v>
      </c>
      <c r="D126" s="8" t="s">
        <v>48</v>
      </c>
      <c r="E126" s="7">
        <v>45713.0</v>
      </c>
      <c r="F126" s="20">
        <v>8399913.0</v>
      </c>
      <c r="G126" s="20">
        <v>5760000.0</v>
      </c>
      <c r="H126" s="5">
        <v>70.0</v>
      </c>
      <c r="I126" s="3" t="s">
        <v>538</v>
      </c>
      <c r="J126" s="5">
        <v>2020.0</v>
      </c>
      <c r="K126" s="29" t="s">
        <v>1628</v>
      </c>
      <c r="N126" s="27">
        <f t="shared" si="1"/>
        <v>0.6857213878</v>
      </c>
      <c r="O126" s="28"/>
      <c r="P126" s="4">
        <v>1.0</v>
      </c>
      <c r="Q126" s="4">
        <v>1.0</v>
      </c>
      <c r="R126" s="4">
        <v>0.0</v>
      </c>
      <c r="S126" s="4">
        <v>1.0</v>
      </c>
      <c r="T126" s="4">
        <v>2.0</v>
      </c>
      <c r="U126" s="4" t="s">
        <v>595</v>
      </c>
    </row>
    <row r="127">
      <c r="A127" s="3" t="s">
        <v>1112</v>
      </c>
      <c r="B127" s="3" t="s">
        <v>76</v>
      </c>
      <c r="C127" s="3" t="s">
        <v>1113</v>
      </c>
      <c r="D127" s="8" t="s">
        <v>48</v>
      </c>
      <c r="E127" s="7">
        <v>46067.0</v>
      </c>
      <c r="F127" s="20">
        <v>1.0611877E7</v>
      </c>
      <c r="G127" s="20">
        <v>5800000.0</v>
      </c>
      <c r="H127" s="3">
        <v>76.0</v>
      </c>
      <c r="I127" s="3" t="s">
        <v>538</v>
      </c>
      <c r="J127" s="3">
        <v>2018.0</v>
      </c>
      <c r="K127" s="23" t="s">
        <v>1636</v>
      </c>
      <c r="N127" s="27">
        <f t="shared" si="1"/>
        <v>0.5465574092</v>
      </c>
      <c r="O127" s="28"/>
      <c r="P127" s="4">
        <v>2.0</v>
      </c>
      <c r="Q127" s="4">
        <v>0.0</v>
      </c>
      <c r="R127" s="4">
        <v>1.0</v>
      </c>
      <c r="S127" s="4">
        <v>0.0</v>
      </c>
      <c r="T127" s="4">
        <v>2.0</v>
      </c>
      <c r="U127" s="4" t="s">
        <v>558</v>
      </c>
    </row>
    <row r="128">
      <c r="A128" s="3" t="s">
        <v>653</v>
      </c>
      <c r="B128" s="3" t="s">
        <v>59</v>
      </c>
      <c r="C128" s="3" t="s">
        <v>472</v>
      </c>
      <c r="D128" s="8" t="s">
        <v>48</v>
      </c>
      <c r="E128" s="7">
        <v>45254.0</v>
      </c>
      <c r="F128" s="20">
        <v>1.03E7</v>
      </c>
      <c r="G128" s="20">
        <v>6000000.0</v>
      </c>
      <c r="H128" s="3">
        <v>37.0</v>
      </c>
      <c r="I128" s="3" t="s">
        <v>538</v>
      </c>
      <c r="J128" s="3">
        <v>2021.0</v>
      </c>
      <c r="K128" s="23" t="s">
        <v>1033</v>
      </c>
      <c r="N128" s="27">
        <f t="shared" si="1"/>
        <v>0.5825242718</v>
      </c>
      <c r="O128" s="28">
        <v>400000.0</v>
      </c>
      <c r="P128" s="4">
        <v>0.0</v>
      </c>
      <c r="Q128" s="4">
        <v>0.0</v>
      </c>
      <c r="R128" s="4">
        <v>1.0</v>
      </c>
      <c r="S128" s="4">
        <v>0.0</v>
      </c>
      <c r="T128" s="4">
        <v>1.0</v>
      </c>
      <c r="U128" s="4" t="s">
        <v>569</v>
      </c>
    </row>
    <row r="129">
      <c r="A129" s="3" t="s">
        <v>1143</v>
      </c>
      <c r="B129" s="3" t="s">
        <v>59</v>
      </c>
      <c r="C129" s="3" t="s">
        <v>422</v>
      </c>
      <c r="D129" s="8" t="s">
        <v>48</v>
      </c>
      <c r="E129" s="7">
        <v>45475.0</v>
      </c>
      <c r="F129" s="20">
        <v>6000000.0</v>
      </c>
      <c r="G129" s="20">
        <v>6000000.0</v>
      </c>
      <c r="H129" s="3">
        <v>59.0</v>
      </c>
      <c r="I129" s="3" t="s">
        <v>538</v>
      </c>
      <c r="J129" s="3">
        <v>2023.0</v>
      </c>
      <c r="K129" s="23" t="s">
        <v>1604</v>
      </c>
      <c r="N129" s="27">
        <f t="shared" si="1"/>
        <v>1</v>
      </c>
      <c r="O129" s="28"/>
      <c r="P129" s="4">
        <v>1.0</v>
      </c>
      <c r="Q129" s="4">
        <v>1.0</v>
      </c>
      <c r="R129" s="4">
        <v>1.0</v>
      </c>
      <c r="S129" s="4">
        <v>3.0</v>
      </c>
      <c r="T129" s="4">
        <v>3.0</v>
      </c>
      <c r="U129" s="4" t="s">
        <v>558</v>
      </c>
    </row>
    <row r="130">
      <c r="A130" s="3" t="s">
        <v>1146</v>
      </c>
      <c r="B130" s="3" t="s">
        <v>76</v>
      </c>
      <c r="C130" s="3" t="s">
        <v>1147</v>
      </c>
      <c r="D130" s="8" t="s">
        <v>52</v>
      </c>
      <c r="E130" s="7">
        <v>45910.0</v>
      </c>
      <c r="F130" s="20">
        <v>1.2134606E7</v>
      </c>
      <c r="G130" s="20">
        <v>6000000.0</v>
      </c>
      <c r="H130" s="3">
        <v>77.0</v>
      </c>
      <c r="I130" s="3" t="s">
        <v>538</v>
      </c>
      <c r="J130" s="3">
        <v>2018.0</v>
      </c>
      <c r="K130" s="23" t="s">
        <v>1611</v>
      </c>
      <c r="N130" s="27">
        <f t="shared" si="1"/>
        <v>0.4944536312</v>
      </c>
      <c r="O130" s="28">
        <v>5750000.0</v>
      </c>
      <c r="P130" s="4">
        <v>1.0</v>
      </c>
      <c r="Q130" s="4">
        <v>3.0</v>
      </c>
      <c r="R130" s="4">
        <v>2.0</v>
      </c>
      <c r="S130" s="4">
        <v>0.0</v>
      </c>
      <c r="T130" s="4">
        <v>3.0</v>
      </c>
      <c r="U130" s="4" t="s">
        <v>569</v>
      </c>
    </row>
    <row r="131">
      <c r="A131" s="3" t="s">
        <v>1513</v>
      </c>
      <c r="B131" s="3" t="s">
        <v>38</v>
      </c>
      <c r="C131" s="3" t="s">
        <v>1514</v>
      </c>
      <c r="D131" s="8" t="s">
        <v>52</v>
      </c>
      <c r="E131" s="7">
        <v>45831.0</v>
      </c>
      <c r="F131" s="20">
        <v>1.14102E7</v>
      </c>
      <c r="G131" s="20">
        <v>6048000.0</v>
      </c>
      <c r="H131" s="5">
        <v>46.0</v>
      </c>
      <c r="I131" s="3" t="s">
        <v>496</v>
      </c>
      <c r="J131" s="5">
        <v>2014.0</v>
      </c>
      <c r="K131" s="29" t="s">
        <v>1657</v>
      </c>
      <c r="N131" s="27">
        <f t="shared" si="1"/>
        <v>0.5300520587</v>
      </c>
      <c r="O131" s="28"/>
      <c r="P131" s="4">
        <v>0.0</v>
      </c>
      <c r="Q131" s="4">
        <v>1.0</v>
      </c>
      <c r="R131" s="4">
        <v>3.0</v>
      </c>
      <c r="S131" s="4">
        <v>1.0</v>
      </c>
      <c r="T131" s="4">
        <v>2.0</v>
      </c>
      <c r="U131" s="4" t="s">
        <v>569</v>
      </c>
    </row>
    <row r="132">
      <c r="A132" s="3" t="s">
        <v>1518</v>
      </c>
      <c r="B132" s="3" t="s">
        <v>76</v>
      </c>
      <c r="C132" s="3" t="s">
        <v>1519</v>
      </c>
      <c r="D132" s="8" t="s">
        <v>52</v>
      </c>
      <c r="E132" s="7">
        <v>44845.0</v>
      </c>
      <c r="F132" s="20">
        <v>6588000.0</v>
      </c>
      <c r="G132" s="20">
        <v>6048000.0</v>
      </c>
      <c r="H132" s="5">
        <v>53.0</v>
      </c>
      <c r="I132" s="3" t="s">
        <v>538</v>
      </c>
      <c r="J132" s="5">
        <v>2016.0</v>
      </c>
      <c r="K132" s="29" t="s">
        <v>1662</v>
      </c>
      <c r="N132" s="27">
        <f t="shared" si="1"/>
        <v>0.9180327869</v>
      </c>
      <c r="O132" s="28"/>
      <c r="P132" s="4">
        <v>0.0</v>
      </c>
      <c r="Q132" s="4">
        <v>1.0</v>
      </c>
      <c r="R132" s="4">
        <v>0.0</v>
      </c>
      <c r="S132" s="4">
        <v>0.0</v>
      </c>
      <c r="T132" s="4">
        <v>3.0</v>
      </c>
      <c r="U132" s="4" t="s">
        <v>558</v>
      </c>
    </row>
    <row r="133">
      <c r="A133" s="3" t="s">
        <v>1668</v>
      </c>
      <c r="B133" s="3" t="s">
        <v>76</v>
      </c>
      <c r="C133" s="3" t="s">
        <v>1669</v>
      </c>
      <c r="D133" s="8" t="s">
        <v>48</v>
      </c>
      <c r="E133" s="7">
        <v>46001.0</v>
      </c>
      <c r="F133" s="20">
        <v>1.008E7</v>
      </c>
      <c r="G133" s="20">
        <v>6120000.0</v>
      </c>
      <c r="H133" s="5">
        <v>122.0</v>
      </c>
      <c r="I133" s="3" t="s">
        <v>514</v>
      </c>
      <c r="J133" s="5">
        <v>2022.0</v>
      </c>
      <c r="K133" s="29" t="s">
        <v>1671</v>
      </c>
      <c r="N133" s="27">
        <f t="shared" si="1"/>
        <v>0.6071428571</v>
      </c>
      <c r="O133" s="28"/>
      <c r="P133" s="4">
        <v>2.0</v>
      </c>
      <c r="Q133" s="4">
        <v>3.0</v>
      </c>
      <c r="R133" s="4">
        <v>4.0</v>
      </c>
      <c r="S133" s="4">
        <v>1.0</v>
      </c>
      <c r="T133" s="4">
        <v>3.0</v>
      </c>
      <c r="U133" s="4" t="s">
        <v>558</v>
      </c>
    </row>
    <row r="134">
      <c r="A134" s="3" t="s">
        <v>1637</v>
      </c>
      <c r="B134" s="3" t="s">
        <v>59</v>
      </c>
      <c r="C134" s="3" t="s">
        <v>1638</v>
      </c>
      <c r="D134" s="8" t="s">
        <v>48</v>
      </c>
      <c r="E134" s="7">
        <v>45874.0</v>
      </c>
      <c r="F134" s="20">
        <v>6300000.0</v>
      </c>
      <c r="G134" s="20">
        <v>6300000.0</v>
      </c>
      <c r="H134" s="5">
        <v>73.0</v>
      </c>
      <c r="I134" s="3" t="s">
        <v>538</v>
      </c>
      <c r="J134" s="5">
        <v>2025.0</v>
      </c>
      <c r="K134" s="29" t="s">
        <v>1681</v>
      </c>
      <c r="N134" s="27">
        <f t="shared" si="1"/>
        <v>1</v>
      </c>
      <c r="O134" s="28"/>
      <c r="P134" s="4">
        <v>1.0</v>
      </c>
      <c r="Q134" s="4">
        <v>5.0</v>
      </c>
      <c r="R134" s="4">
        <v>5.0</v>
      </c>
      <c r="S134" s="4">
        <v>2.0</v>
      </c>
      <c r="T134" s="4">
        <v>0.0</v>
      </c>
      <c r="U134" s="4" t="s">
        <v>550</v>
      </c>
    </row>
    <row r="135">
      <c r="A135" s="3" t="s">
        <v>1686</v>
      </c>
      <c r="B135" s="3" t="s">
        <v>38</v>
      </c>
      <c r="C135" s="3" t="s">
        <v>1687</v>
      </c>
      <c r="D135" s="8" t="s">
        <v>48</v>
      </c>
      <c r="E135" s="7">
        <v>45910.0</v>
      </c>
      <c r="F135" s="20">
        <v>1.86894344E8</v>
      </c>
      <c r="G135" s="20">
        <v>6300000.0</v>
      </c>
      <c r="H135" s="5">
        <v>1281.0</v>
      </c>
      <c r="I135" s="3" t="s">
        <v>1144</v>
      </c>
      <c r="J135" s="5">
        <v>2010.0</v>
      </c>
      <c r="K135" s="29" t="s">
        <v>1689</v>
      </c>
      <c r="N135" s="27">
        <f t="shared" si="1"/>
        <v>0.03370888527</v>
      </c>
      <c r="O135" s="28">
        <v>5.5E7</v>
      </c>
      <c r="P135" s="4">
        <v>0.0</v>
      </c>
      <c r="Q135" s="4">
        <v>2.0</v>
      </c>
      <c r="R135" s="4">
        <v>5.0</v>
      </c>
      <c r="S135" s="4">
        <v>4.0</v>
      </c>
      <c r="T135" s="4">
        <v>9.0</v>
      </c>
      <c r="U135" s="4" t="s">
        <v>558</v>
      </c>
    </row>
    <row r="136">
      <c r="A136" s="3" t="s">
        <v>1695</v>
      </c>
      <c r="B136" s="3" t="s">
        <v>38</v>
      </c>
      <c r="C136" s="3" t="s">
        <v>1696</v>
      </c>
      <c r="D136" s="8" t="s">
        <v>48</v>
      </c>
      <c r="E136" s="7">
        <v>45908.0</v>
      </c>
      <c r="F136" s="20">
        <v>3.2015327E7</v>
      </c>
      <c r="G136" s="20">
        <v>6300000.0</v>
      </c>
      <c r="H136" s="5">
        <v>485.0</v>
      </c>
      <c r="I136" s="3" t="s">
        <v>905</v>
      </c>
      <c r="J136" s="5">
        <v>2020.0</v>
      </c>
      <c r="K136" s="29" t="s">
        <v>1699</v>
      </c>
      <c r="N136" s="27">
        <f t="shared" si="1"/>
        <v>0.1967807482</v>
      </c>
      <c r="O136" s="28">
        <v>8000000.0</v>
      </c>
      <c r="P136" s="4">
        <v>0.0</v>
      </c>
      <c r="Q136" s="4">
        <v>8.0</v>
      </c>
      <c r="R136" s="4">
        <v>1.0</v>
      </c>
      <c r="S136" s="4">
        <v>3.0</v>
      </c>
      <c r="T136" s="4">
        <v>4.0</v>
      </c>
      <c r="U136" s="4" t="s">
        <v>558</v>
      </c>
    </row>
    <row r="137">
      <c r="A137" s="3" t="s">
        <v>1530</v>
      </c>
      <c r="B137" s="3" t="s">
        <v>59</v>
      </c>
      <c r="C137" s="3" t="s">
        <v>1531</v>
      </c>
      <c r="D137" s="8" t="s">
        <v>52</v>
      </c>
      <c r="E137" s="7">
        <v>45779.0</v>
      </c>
      <c r="F137" s="20">
        <v>1.4148E7</v>
      </c>
      <c r="G137" s="20">
        <v>6480000.0</v>
      </c>
      <c r="H137" s="5">
        <v>101.0</v>
      </c>
      <c r="I137" s="3" t="s">
        <v>538</v>
      </c>
      <c r="J137" s="5">
        <v>2019.0</v>
      </c>
      <c r="K137" s="29" t="s">
        <v>1707</v>
      </c>
      <c r="N137" s="27">
        <f t="shared" si="1"/>
        <v>0.4580152672</v>
      </c>
      <c r="O137" s="28">
        <v>1.3E7</v>
      </c>
      <c r="P137" s="4">
        <v>0.0</v>
      </c>
      <c r="Q137" s="4">
        <v>1.0</v>
      </c>
      <c r="R137" s="4">
        <v>2.0</v>
      </c>
      <c r="S137" s="4">
        <v>0.0</v>
      </c>
      <c r="T137" s="4">
        <v>2.0</v>
      </c>
      <c r="U137" s="4" t="s">
        <v>595</v>
      </c>
    </row>
    <row r="138">
      <c r="A138" s="3" t="s">
        <v>1534</v>
      </c>
      <c r="B138" s="3" t="s">
        <v>76</v>
      </c>
      <c r="C138" s="3" t="s">
        <v>1535</v>
      </c>
      <c r="D138" s="8" t="s">
        <v>52</v>
      </c>
      <c r="E138" s="7">
        <v>44944.0</v>
      </c>
      <c r="F138" s="20">
        <v>8804576.0</v>
      </c>
      <c r="G138" s="20">
        <v>6480000.0</v>
      </c>
      <c r="H138" s="4">
        <v>10.0</v>
      </c>
      <c r="I138" s="5" t="s">
        <v>584</v>
      </c>
      <c r="J138" s="5">
        <v>2015.0</v>
      </c>
      <c r="K138" s="29" t="s">
        <v>1711</v>
      </c>
      <c r="N138" s="27">
        <f t="shared" si="1"/>
        <v>0.7359809263</v>
      </c>
      <c r="O138" s="28"/>
      <c r="P138" s="4">
        <v>0.0</v>
      </c>
      <c r="Q138" s="4">
        <v>0.0</v>
      </c>
      <c r="R138" s="4">
        <v>0.0</v>
      </c>
      <c r="S138" s="4">
        <v>1.0</v>
      </c>
      <c r="T138" s="4">
        <v>0.0</v>
      </c>
      <c r="U138" s="4" t="s">
        <v>558</v>
      </c>
    </row>
    <row r="139">
      <c r="A139" s="3" t="s">
        <v>1171</v>
      </c>
      <c r="B139" s="3" t="s">
        <v>76</v>
      </c>
      <c r="C139" s="3" t="s">
        <v>1172</v>
      </c>
      <c r="D139" s="8" t="s">
        <v>52</v>
      </c>
      <c r="E139" s="7">
        <v>44845.0</v>
      </c>
      <c r="F139" s="20">
        <v>1.6048983E7</v>
      </c>
      <c r="G139" s="20">
        <v>7150000.0</v>
      </c>
      <c r="H139" s="3">
        <v>33.0</v>
      </c>
      <c r="I139" s="3" t="s">
        <v>496</v>
      </c>
      <c r="J139" s="3">
        <v>2016.0</v>
      </c>
      <c r="K139" s="23" t="s">
        <v>1641</v>
      </c>
      <c r="N139" s="27">
        <f t="shared" si="1"/>
        <v>0.4455110956</v>
      </c>
      <c r="O139" s="28"/>
      <c r="P139" s="4">
        <v>1.0</v>
      </c>
      <c r="Q139" s="4">
        <v>1.0</v>
      </c>
      <c r="R139" s="4">
        <v>1.0</v>
      </c>
      <c r="S139" s="4">
        <v>0.0</v>
      </c>
      <c r="T139" s="4">
        <v>2.0</v>
      </c>
      <c r="U139" s="4" t="s">
        <v>569</v>
      </c>
    </row>
    <row r="140">
      <c r="A140" s="3" t="s">
        <v>1640</v>
      </c>
      <c r="B140" s="3" t="s">
        <v>76</v>
      </c>
      <c r="C140" s="3" t="s">
        <v>1642</v>
      </c>
      <c r="D140" s="8" t="s">
        <v>48</v>
      </c>
      <c r="E140" s="7">
        <v>44823.0</v>
      </c>
      <c r="F140" s="20">
        <v>7200000.0</v>
      </c>
      <c r="G140" s="20">
        <v>7200000.0</v>
      </c>
      <c r="H140" s="5">
        <v>252.0</v>
      </c>
      <c r="I140" s="3" t="s">
        <v>905</v>
      </c>
      <c r="J140" s="5">
        <v>2015.0</v>
      </c>
      <c r="K140" s="29" t="s">
        <v>1727</v>
      </c>
      <c r="N140" s="27">
        <f t="shared" si="1"/>
        <v>1</v>
      </c>
      <c r="O140" s="28"/>
      <c r="P140" s="4">
        <v>1.0</v>
      </c>
      <c r="Q140" s="4">
        <v>0.0</v>
      </c>
      <c r="R140" s="4">
        <v>0.0</v>
      </c>
      <c r="S140" s="4">
        <v>2.0</v>
      </c>
      <c r="T140" s="4">
        <v>2.0</v>
      </c>
      <c r="U140" s="4" t="s">
        <v>595</v>
      </c>
    </row>
    <row r="141">
      <c r="A141" s="3" t="s">
        <v>1543</v>
      </c>
      <c r="B141" s="3" t="s">
        <v>76</v>
      </c>
      <c r="C141" s="3" t="s">
        <v>1544</v>
      </c>
      <c r="D141" s="8" t="s">
        <v>52</v>
      </c>
      <c r="E141" s="7">
        <v>45369.0</v>
      </c>
      <c r="F141" s="20">
        <v>1.2042E7</v>
      </c>
      <c r="G141" s="20">
        <v>7560000.0</v>
      </c>
      <c r="H141" s="5">
        <v>60.0</v>
      </c>
      <c r="I141" s="3" t="s">
        <v>538</v>
      </c>
      <c r="J141" s="5">
        <v>2015.0</v>
      </c>
      <c r="K141" s="29" t="s">
        <v>1733</v>
      </c>
      <c r="N141" s="27">
        <f t="shared" si="1"/>
        <v>0.6278026906</v>
      </c>
      <c r="O141" s="28"/>
      <c r="P141" s="4">
        <v>1.0</v>
      </c>
      <c r="Q141" s="4">
        <v>3.0</v>
      </c>
      <c r="R141" s="4">
        <v>8.0</v>
      </c>
      <c r="S141" s="4">
        <v>2.0</v>
      </c>
      <c r="T141" s="4">
        <v>2.0</v>
      </c>
      <c r="U141" s="4" t="s">
        <v>558</v>
      </c>
    </row>
    <row r="142">
      <c r="A142" s="3" t="s">
        <v>1644</v>
      </c>
      <c r="B142" s="3" t="s">
        <v>289</v>
      </c>
      <c r="C142" s="3" t="s">
        <v>1645</v>
      </c>
      <c r="D142" s="8" t="s">
        <v>48</v>
      </c>
      <c r="E142" s="7">
        <v>45638.0</v>
      </c>
      <c r="F142" s="20">
        <v>2.16E7</v>
      </c>
      <c r="G142" s="20">
        <v>7740000.0</v>
      </c>
      <c r="H142" s="5">
        <v>636.0</v>
      </c>
      <c r="I142" s="3" t="s">
        <v>783</v>
      </c>
      <c r="J142" s="5">
        <v>2024.0</v>
      </c>
      <c r="K142" s="29" t="s">
        <v>1740</v>
      </c>
      <c r="N142" s="27">
        <f t="shared" si="1"/>
        <v>0.3583333333</v>
      </c>
      <c r="O142" s="28"/>
      <c r="P142" s="4">
        <v>0.0</v>
      </c>
      <c r="Q142" s="4">
        <v>6.0</v>
      </c>
      <c r="R142" s="4">
        <v>9.0</v>
      </c>
      <c r="S142" s="4">
        <v>2.0</v>
      </c>
      <c r="T142" s="4">
        <v>2.0</v>
      </c>
      <c r="U142" s="4" t="s">
        <v>558</v>
      </c>
    </row>
    <row r="143">
      <c r="A143" s="3" t="s">
        <v>1207</v>
      </c>
      <c r="B143" s="3" t="s">
        <v>76</v>
      </c>
      <c r="C143" s="3" t="s">
        <v>1208</v>
      </c>
      <c r="D143" s="8" t="s">
        <v>48</v>
      </c>
      <c r="E143" s="7">
        <v>45569.0</v>
      </c>
      <c r="F143" s="20">
        <v>1.22E7</v>
      </c>
      <c r="G143" s="20">
        <v>8000000.0</v>
      </c>
      <c r="H143" s="3">
        <v>103.0</v>
      </c>
      <c r="I143" s="3" t="s">
        <v>538</v>
      </c>
      <c r="J143" s="3">
        <v>2021.0</v>
      </c>
      <c r="K143" s="23" t="s">
        <v>1745</v>
      </c>
      <c r="N143" s="27">
        <f t="shared" si="1"/>
        <v>0.6557377049</v>
      </c>
      <c r="O143" s="28">
        <v>1777000.0</v>
      </c>
      <c r="P143" s="4">
        <v>0.0</v>
      </c>
      <c r="Q143" s="4">
        <v>1.0</v>
      </c>
      <c r="R143" s="4">
        <v>0.0</v>
      </c>
      <c r="S143" s="4">
        <v>0.0</v>
      </c>
      <c r="T143" s="4">
        <v>4.0</v>
      </c>
      <c r="U143" s="4" t="s">
        <v>569</v>
      </c>
    </row>
    <row r="144">
      <c r="A144" s="3" t="s">
        <v>1548</v>
      </c>
      <c r="B144" s="3" t="s">
        <v>59</v>
      </c>
      <c r="C144" s="3" t="s">
        <v>1549</v>
      </c>
      <c r="D144" s="8" t="s">
        <v>52</v>
      </c>
      <c r="E144" s="7">
        <v>44403.0</v>
      </c>
      <c r="F144" s="20">
        <v>8208000.0</v>
      </c>
      <c r="G144" s="20">
        <v>8208000.0</v>
      </c>
      <c r="H144" s="5">
        <v>18.0</v>
      </c>
      <c r="I144" s="3" t="s">
        <v>496</v>
      </c>
      <c r="J144" s="5">
        <v>2020.0</v>
      </c>
      <c r="K144" s="29" t="s">
        <v>1754</v>
      </c>
      <c r="N144" s="27">
        <f t="shared" si="1"/>
        <v>1</v>
      </c>
      <c r="O144" s="28"/>
      <c r="P144" s="4">
        <v>0.0</v>
      </c>
      <c r="Q144" s="4">
        <v>1.0</v>
      </c>
      <c r="R144" s="4">
        <v>0.0</v>
      </c>
      <c r="S144" s="4">
        <v>0.0</v>
      </c>
      <c r="T144" s="4">
        <v>0.0</v>
      </c>
      <c r="U144" s="4" t="s">
        <v>550</v>
      </c>
    </row>
    <row r="145">
      <c r="A145" s="3" t="s">
        <v>1226</v>
      </c>
      <c r="B145" s="3" t="s">
        <v>59</v>
      </c>
      <c r="C145" s="3" t="s">
        <v>1227</v>
      </c>
      <c r="D145" s="8" t="s">
        <v>48</v>
      </c>
      <c r="E145" s="7">
        <v>45940.0</v>
      </c>
      <c r="F145" s="20">
        <v>9000000.0</v>
      </c>
      <c r="G145" s="20">
        <v>9000000.0</v>
      </c>
      <c r="H145" s="3">
        <v>39.0</v>
      </c>
      <c r="I145" s="3" t="s">
        <v>496</v>
      </c>
      <c r="J145" s="3">
        <v>2025.0</v>
      </c>
      <c r="K145" s="23" t="s">
        <v>1704</v>
      </c>
      <c r="N145" s="27">
        <f t="shared" si="1"/>
        <v>1</v>
      </c>
      <c r="O145" s="28"/>
      <c r="P145" s="4">
        <v>0.0</v>
      </c>
      <c r="Q145" s="4">
        <v>0.0</v>
      </c>
      <c r="R145" s="4">
        <v>0.0</v>
      </c>
      <c r="S145" s="4">
        <v>0.0</v>
      </c>
      <c r="T145" s="4">
        <v>1.0</v>
      </c>
      <c r="U145" s="4" t="s">
        <v>550</v>
      </c>
    </row>
    <row r="146">
      <c r="A146" s="3" t="s">
        <v>1655</v>
      </c>
      <c r="B146" s="3" t="s">
        <v>59</v>
      </c>
      <c r="C146" s="3" t="s">
        <v>1656</v>
      </c>
      <c r="D146" s="8" t="s">
        <v>48</v>
      </c>
      <c r="E146" s="7">
        <v>45810.0</v>
      </c>
      <c r="F146" s="20">
        <v>1.26E7</v>
      </c>
      <c r="G146" s="20">
        <v>9000000.0</v>
      </c>
      <c r="H146" s="5">
        <v>181.0</v>
      </c>
      <c r="I146" s="3" t="s">
        <v>514</v>
      </c>
      <c r="J146" s="5">
        <v>2016.0</v>
      </c>
      <c r="K146" s="29" t="s">
        <v>1764</v>
      </c>
      <c r="N146" s="27">
        <f t="shared" si="1"/>
        <v>0.7142857143</v>
      </c>
      <c r="O146" s="28">
        <v>8500000.0</v>
      </c>
      <c r="P146" s="4">
        <v>0.0</v>
      </c>
      <c r="Q146" s="4">
        <v>0.0</v>
      </c>
      <c r="R146" s="4">
        <v>0.0</v>
      </c>
      <c r="S146" s="4">
        <v>2.0</v>
      </c>
      <c r="T146" s="4">
        <v>5.0</v>
      </c>
      <c r="U146" s="4" t="s">
        <v>569</v>
      </c>
    </row>
    <row r="147">
      <c r="A147" s="3" t="s">
        <v>1774</v>
      </c>
      <c r="B147" s="3" t="s">
        <v>289</v>
      </c>
      <c r="C147" s="3" t="s">
        <v>1775</v>
      </c>
      <c r="D147" s="8" t="s">
        <v>48</v>
      </c>
      <c r="E147" s="7">
        <v>46043.0</v>
      </c>
      <c r="F147" s="20">
        <v>5.9726979E7</v>
      </c>
      <c r="G147" s="20">
        <v>9000000.0</v>
      </c>
      <c r="H147" s="5">
        <v>74.0</v>
      </c>
      <c r="I147" s="3" t="s">
        <v>538</v>
      </c>
      <c r="J147" s="5">
        <v>2016.0</v>
      </c>
      <c r="K147" s="29" t="s">
        <v>1776</v>
      </c>
      <c r="N147" s="27">
        <f t="shared" si="1"/>
        <v>0.1506856726</v>
      </c>
      <c r="O147" s="28">
        <v>2.52E7</v>
      </c>
      <c r="P147" s="4">
        <v>1.0</v>
      </c>
      <c r="Q147" s="4">
        <v>0.0</v>
      </c>
      <c r="R147" s="4">
        <v>0.0</v>
      </c>
      <c r="S147" s="4">
        <v>0.0</v>
      </c>
      <c r="T147" s="4">
        <v>4.0</v>
      </c>
      <c r="U147" s="4" t="s">
        <v>558</v>
      </c>
    </row>
    <row r="148">
      <c r="A148" s="3" t="s">
        <v>544</v>
      </c>
      <c r="B148" s="3" t="s">
        <v>59</v>
      </c>
      <c r="C148" s="3" t="s">
        <v>545</v>
      </c>
      <c r="D148" s="8" t="s">
        <v>48</v>
      </c>
      <c r="E148" s="7">
        <v>45379.0</v>
      </c>
      <c r="F148" s="20">
        <v>2.01E7</v>
      </c>
      <c r="G148" s="20">
        <v>1.0E7</v>
      </c>
      <c r="H148" s="5">
        <v>18.0</v>
      </c>
      <c r="I148" s="5" t="s">
        <v>496</v>
      </c>
      <c r="J148" s="3">
        <v>2023.0</v>
      </c>
      <c r="K148" s="23" t="s">
        <v>1782</v>
      </c>
      <c r="N148" s="27">
        <f t="shared" si="1"/>
        <v>0.4975124378</v>
      </c>
      <c r="O148" s="28"/>
      <c r="P148" s="4">
        <v>1.0</v>
      </c>
      <c r="Q148" s="4">
        <v>1.0</v>
      </c>
      <c r="R148" s="4">
        <v>0.0</v>
      </c>
      <c r="S148" s="4">
        <v>0.0</v>
      </c>
      <c r="T148" s="4">
        <v>0.0</v>
      </c>
      <c r="U148" s="4" t="s">
        <v>558</v>
      </c>
    </row>
    <row r="149">
      <c r="A149" s="3" t="s">
        <v>547</v>
      </c>
      <c r="B149" s="3" t="s">
        <v>76</v>
      </c>
      <c r="C149" s="3" t="s">
        <v>548</v>
      </c>
      <c r="D149" s="8" t="s">
        <v>48</v>
      </c>
      <c r="E149" s="7">
        <v>44656.0</v>
      </c>
      <c r="F149" s="20">
        <v>1.22E7</v>
      </c>
      <c r="G149" s="20">
        <v>1.0E7</v>
      </c>
      <c r="H149" s="3">
        <v>68.0</v>
      </c>
      <c r="I149" s="3" t="s">
        <v>538</v>
      </c>
      <c r="J149" s="3">
        <v>2020.0</v>
      </c>
      <c r="K149" s="23" t="s">
        <v>1792</v>
      </c>
      <c r="N149" s="27">
        <f t="shared" si="1"/>
        <v>0.8196721311</v>
      </c>
      <c r="O149" s="28">
        <v>5000000.0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 t="s">
        <v>569</v>
      </c>
    </row>
    <row r="150">
      <c r="A150" s="3" t="s">
        <v>556</v>
      </c>
      <c r="B150" s="3" t="s">
        <v>38</v>
      </c>
      <c r="C150" s="3" t="s">
        <v>557</v>
      </c>
      <c r="D150" s="8" t="s">
        <v>48</v>
      </c>
      <c r="E150" s="7">
        <v>45483.0</v>
      </c>
      <c r="F150" s="20">
        <v>1.0E7</v>
      </c>
      <c r="G150" s="20">
        <v>1.0E7</v>
      </c>
      <c r="H150" s="3">
        <v>191.0</v>
      </c>
      <c r="I150" s="3" t="s">
        <v>514</v>
      </c>
      <c r="J150" s="3">
        <v>2017.0</v>
      </c>
      <c r="K150" s="23" t="s">
        <v>883</v>
      </c>
      <c r="N150" s="27">
        <f t="shared" si="1"/>
        <v>1</v>
      </c>
      <c r="O150" s="28"/>
      <c r="P150" s="4">
        <v>0.0</v>
      </c>
      <c r="Q150" s="4">
        <v>0.0</v>
      </c>
      <c r="R150" s="4">
        <v>0.0</v>
      </c>
      <c r="S150" s="4">
        <v>0.0</v>
      </c>
      <c r="T150" s="4">
        <v>0.0</v>
      </c>
      <c r="U150" s="4" t="s">
        <v>550</v>
      </c>
    </row>
    <row r="151">
      <c r="A151" s="3" t="s">
        <v>723</v>
      </c>
      <c r="B151" s="3" t="s">
        <v>289</v>
      </c>
      <c r="C151" s="3" t="s">
        <v>724</v>
      </c>
      <c r="D151" s="8" t="s">
        <v>48</v>
      </c>
      <c r="E151" s="7">
        <v>45643.0</v>
      </c>
      <c r="F151" s="20">
        <v>6.6231E7</v>
      </c>
      <c r="G151" s="20">
        <v>1.0E7</v>
      </c>
      <c r="H151" s="3">
        <v>497.0</v>
      </c>
      <c r="I151" s="3" t="s">
        <v>905</v>
      </c>
      <c r="J151" s="3">
        <v>2018.0</v>
      </c>
      <c r="K151" s="23" t="s">
        <v>1132</v>
      </c>
      <c r="N151" s="27">
        <f t="shared" si="1"/>
        <v>0.1509866981</v>
      </c>
      <c r="O151" s="28">
        <v>1.8E7</v>
      </c>
      <c r="P151" s="4">
        <v>1.0</v>
      </c>
      <c r="Q151" s="4">
        <v>1.0</v>
      </c>
      <c r="R151" s="4">
        <v>0.0</v>
      </c>
      <c r="S151" s="4">
        <v>0.0</v>
      </c>
      <c r="T151" s="4">
        <v>4.0</v>
      </c>
      <c r="U151" s="4" t="s">
        <v>569</v>
      </c>
    </row>
    <row r="152">
      <c r="A152" s="3" t="s">
        <v>727</v>
      </c>
      <c r="B152" s="3" t="s">
        <v>76</v>
      </c>
      <c r="C152" s="3" t="s">
        <v>728</v>
      </c>
      <c r="D152" s="8" t="s">
        <v>48</v>
      </c>
      <c r="E152" s="7">
        <v>45988.0</v>
      </c>
      <c r="F152" s="20">
        <v>5.642156E7</v>
      </c>
      <c r="G152" s="20">
        <v>1.0E7</v>
      </c>
      <c r="H152" s="3">
        <v>641.0</v>
      </c>
      <c r="I152" s="3" t="s">
        <v>783</v>
      </c>
      <c r="J152" s="3">
        <v>2021.0</v>
      </c>
      <c r="K152" s="23" t="s">
        <v>1139</v>
      </c>
      <c r="N152" s="27">
        <f t="shared" si="1"/>
        <v>0.1772372122</v>
      </c>
      <c r="O152" s="28">
        <v>7.75E7</v>
      </c>
      <c r="P152" s="4">
        <v>1.0</v>
      </c>
      <c r="Q152" s="4">
        <v>0.0</v>
      </c>
      <c r="R152" s="4">
        <v>2.0</v>
      </c>
      <c r="S152" s="4">
        <v>2.0</v>
      </c>
      <c r="T152" s="4">
        <v>3.0</v>
      </c>
      <c r="U152" s="4" t="s">
        <v>558</v>
      </c>
    </row>
    <row r="153">
      <c r="A153" s="3" t="s">
        <v>732</v>
      </c>
      <c r="B153" s="3" t="s">
        <v>391</v>
      </c>
      <c r="C153" s="3" t="s">
        <v>735</v>
      </c>
      <c r="D153" s="8" t="s">
        <v>48</v>
      </c>
      <c r="E153" s="7">
        <v>45153.0</v>
      </c>
      <c r="F153" s="20">
        <v>1.78601756E8</v>
      </c>
      <c r="G153" s="20">
        <v>1.0E7</v>
      </c>
      <c r="H153" s="3">
        <v>1296.0</v>
      </c>
      <c r="I153" s="3" t="s">
        <v>1144</v>
      </c>
      <c r="J153" s="3">
        <v>2011.0</v>
      </c>
      <c r="K153" s="23" t="s">
        <v>1799</v>
      </c>
      <c r="N153" s="27">
        <f t="shared" si="1"/>
        <v>0.05599049093</v>
      </c>
      <c r="O153" s="28">
        <v>1.199E8</v>
      </c>
      <c r="P153" s="4">
        <v>0.0</v>
      </c>
      <c r="Q153" s="4">
        <v>2.0</v>
      </c>
      <c r="R153" s="4">
        <v>6.0</v>
      </c>
      <c r="S153" s="4">
        <v>3.0</v>
      </c>
      <c r="T153" s="4">
        <v>7.0</v>
      </c>
      <c r="U153" s="4" t="s">
        <v>569</v>
      </c>
    </row>
    <row r="154">
      <c r="A154" s="3" t="s">
        <v>738</v>
      </c>
      <c r="B154" s="3" t="s">
        <v>38</v>
      </c>
      <c r="C154" s="3" t="s">
        <v>739</v>
      </c>
      <c r="D154" s="8" t="s">
        <v>48</v>
      </c>
      <c r="E154" s="7">
        <v>45316.0</v>
      </c>
      <c r="F154" s="20">
        <v>3.1005209E7</v>
      </c>
      <c r="G154" s="20">
        <v>1.0E7</v>
      </c>
      <c r="H154" s="3">
        <v>265.0</v>
      </c>
      <c r="I154" s="3" t="s">
        <v>905</v>
      </c>
      <c r="J154" s="3">
        <v>2020.0</v>
      </c>
      <c r="K154" s="23" t="s">
        <v>1156</v>
      </c>
      <c r="N154" s="27">
        <f t="shared" si="1"/>
        <v>0.3225264503</v>
      </c>
      <c r="O154" s="28">
        <v>2.64E7</v>
      </c>
      <c r="P154" s="4">
        <v>0.0</v>
      </c>
      <c r="Q154" s="4">
        <v>0.0</v>
      </c>
      <c r="R154" s="4">
        <v>0.0</v>
      </c>
      <c r="S154" s="4">
        <v>0.0</v>
      </c>
      <c r="T154" s="4">
        <v>3.0</v>
      </c>
      <c r="U154" s="4" t="s">
        <v>569</v>
      </c>
    </row>
    <row r="155">
      <c r="A155" s="3" t="s">
        <v>746</v>
      </c>
      <c r="B155" s="3" t="s">
        <v>76</v>
      </c>
      <c r="C155" s="3" t="s">
        <v>747</v>
      </c>
      <c r="D155" s="8" t="s">
        <v>48</v>
      </c>
      <c r="E155" s="7">
        <v>45909.0</v>
      </c>
      <c r="F155" s="20">
        <v>2.017E7</v>
      </c>
      <c r="G155" s="20">
        <v>1.012E7</v>
      </c>
      <c r="H155" s="3">
        <v>169.0</v>
      </c>
      <c r="I155" s="3" t="s">
        <v>538</v>
      </c>
      <c r="J155" s="3">
        <v>2021.0</v>
      </c>
      <c r="K155" s="23" t="s">
        <v>1167</v>
      </c>
      <c r="N155" s="27">
        <f t="shared" si="1"/>
        <v>0.5017352504</v>
      </c>
      <c r="O155" s="28">
        <v>1000000.0</v>
      </c>
      <c r="P155" s="4">
        <v>1.0</v>
      </c>
      <c r="Q155" s="4">
        <v>1.0</v>
      </c>
      <c r="R155" s="4">
        <v>4.0</v>
      </c>
      <c r="S155" s="4">
        <v>2.0</v>
      </c>
      <c r="T155" s="4">
        <v>3.0</v>
      </c>
      <c r="U155" s="4" t="s">
        <v>558</v>
      </c>
    </row>
    <row r="156">
      <c r="A156" s="3" t="s">
        <v>540</v>
      </c>
      <c r="B156" s="3" t="s">
        <v>391</v>
      </c>
      <c r="C156" s="3" t="s">
        <v>541</v>
      </c>
      <c r="D156" s="8" t="s">
        <v>48</v>
      </c>
      <c r="E156" s="7">
        <v>43773.0</v>
      </c>
      <c r="F156" s="20">
        <v>2.97E7</v>
      </c>
      <c r="G156" s="20">
        <v>1.03E7</v>
      </c>
      <c r="H156" s="3">
        <v>177.0</v>
      </c>
      <c r="I156" s="3" t="s">
        <v>514</v>
      </c>
      <c r="J156" s="3">
        <v>2012.0</v>
      </c>
      <c r="K156" s="23" t="s">
        <v>1817</v>
      </c>
      <c r="N156" s="27">
        <f t="shared" si="1"/>
        <v>0.3468013468</v>
      </c>
      <c r="O156" s="28">
        <v>495000.0</v>
      </c>
      <c r="P156" s="4">
        <v>1.0</v>
      </c>
      <c r="Q156" s="4">
        <v>1.0</v>
      </c>
      <c r="R156" s="4">
        <v>3.0</v>
      </c>
      <c r="S156" s="4">
        <v>2.0</v>
      </c>
      <c r="T156" s="4">
        <v>2.0</v>
      </c>
      <c r="U156" s="4" t="s">
        <v>558</v>
      </c>
    </row>
    <row r="157">
      <c r="A157" s="3" t="s">
        <v>1564</v>
      </c>
      <c r="B157" s="3" t="s">
        <v>76</v>
      </c>
      <c r="C157" s="3" t="s">
        <v>1566</v>
      </c>
      <c r="D157" s="8" t="s">
        <v>52</v>
      </c>
      <c r="E157" s="7">
        <v>44908.0</v>
      </c>
      <c r="F157" s="20">
        <v>1.0661143E7</v>
      </c>
      <c r="G157" s="20">
        <v>1.0584E7</v>
      </c>
      <c r="H157" s="5">
        <v>28.0</v>
      </c>
      <c r="I157" s="3" t="s">
        <v>496</v>
      </c>
      <c r="J157" s="5">
        <v>2010.0</v>
      </c>
      <c r="K157" s="29" t="s">
        <v>1823</v>
      </c>
      <c r="N157" s="27">
        <f t="shared" si="1"/>
        <v>0.9927640967</v>
      </c>
      <c r="O157" s="28">
        <v>1.0E7</v>
      </c>
      <c r="P157" s="4">
        <v>0.0</v>
      </c>
      <c r="Q157" s="4">
        <v>0.0</v>
      </c>
      <c r="R157" s="4">
        <v>2.0</v>
      </c>
      <c r="S157" s="4">
        <v>0.0</v>
      </c>
      <c r="T157" s="4">
        <v>0.0</v>
      </c>
      <c r="U157" s="4" t="s">
        <v>569</v>
      </c>
    </row>
    <row r="158">
      <c r="A158" s="3" t="s">
        <v>1315</v>
      </c>
      <c r="B158" s="3" t="s">
        <v>38</v>
      </c>
      <c r="C158" s="3" t="s">
        <v>1316</v>
      </c>
      <c r="D158" s="8" t="s">
        <v>52</v>
      </c>
      <c r="E158" s="7">
        <v>45799.0</v>
      </c>
      <c r="F158" s="20">
        <v>1.1934E7</v>
      </c>
      <c r="G158" s="20">
        <v>1.08E7</v>
      </c>
      <c r="H158" s="5">
        <v>68.0</v>
      </c>
      <c r="I158" s="3" t="s">
        <v>538</v>
      </c>
      <c r="J158" s="5">
        <v>2024.0</v>
      </c>
      <c r="K158" s="29" t="s">
        <v>1805</v>
      </c>
      <c r="N158" s="27">
        <f t="shared" si="1"/>
        <v>0.9049773756</v>
      </c>
      <c r="O158" s="28"/>
      <c r="P158" s="4">
        <v>0.0</v>
      </c>
      <c r="Q158" s="4">
        <v>0.0</v>
      </c>
      <c r="R158" s="4">
        <v>1.0</v>
      </c>
      <c r="S158" s="4">
        <v>0.0</v>
      </c>
      <c r="T158" s="4">
        <v>1.0</v>
      </c>
      <c r="U158" s="4" t="s">
        <v>595</v>
      </c>
    </row>
    <row r="159">
      <c r="A159" s="3" t="s">
        <v>1321</v>
      </c>
      <c r="B159" s="3" t="s">
        <v>76</v>
      </c>
      <c r="C159" s="3" t="s">
        <v>1322</v>
      </c>
      <c r="D159" s="8" t="s">
        <v>52</v>
      </c>
      <c r="E159" s="7">
        <v>44865.0</v>
      </c>
      <c r="F159" s="20">
        <v>1.6632E7</v>
      </c>
      <c r="G159" s="20">
        <v>1.08E7</v>
      </c>
      <c r="H159" s="4">
        <v>5.0</v>
      </c>
      <c r="I159" s="3" t="s">
        <v>496</v>
      </c>
      <c r="J159" s="5">
        <v>2015.0</v>
      </c>
      <c r="K159" s="29" t="s">
        <v>1813</v>
      </c>
      <c r="N159" s="27">
        <f t="shared" si="1"/>
        <v>0.6493506494</v>
      </c>
      <c r="O159" s="28">
        <v>450000.0</v>
      </c>
      <c r="P159" s="4">
        <v>1.0</v>
      </c>
      <c r="Q159" s="4">
        <v>1.0</v>
      </c>
      <c r="R159" s="4">
        <v>1.0</v>
      </c>
      <c r="S159" s="4">
        <v>0.0</v>
      </c>
      <c r="T159" s="4">
        <v>1.0</v>
      </c>
      <c r="U159" s="4" t="s">
        <v>595</v>
      </c>
    </row>
    <row r="160">
      <c r="A160" s="3" t="s">
        <v>1324</v>
      </c>
      <c r="B160" s="3" t="s">
        <v>76</v>
      </c>
      <c r="C160" s="3" t="s">
        <v>1326</v>
      </c>
      <c r="D160" s="8" t="s">
        <v>52</v>
      </c>
      <c r="E160" s="7">
        <v>43448.0</v>
      </c>
      <c r="F160" s="20">
        <v>1.08E7</v>
      </c>
      <c r="G160" s="20">
        <v>1.08E7</v>
      </c>
      <c r="H160" s="5">
        <v>59.0</v>
      </c>
      <c r="I160" s="3" t="s">
        <v>538</v>
      </c>
      <c r="J160" s="5">
        <v>2006.0</v>
      </c>
      <c r="K160" s="15" t="s">
        <v>1843</v>
      </c>
      <c r="N160" s="27">
        <f t="shared" si="1"/>
        <v>1</v>
      </c>
      <c r="O160" s="28">
        <v>3.4238E7</v>
      </c>
      <c r="P160" s="4">
        <v>0.0</v>
      </c>
      <c r="Q160" s="4">
        <v>0.0</v>
      </c>
      <c r="R160" s="4">
        <v>0.0</v>
      </c>
      <c r="S160" s="4">
        <v>1.0</v>
      </c>
      <c r="T160" s="4">
        <v>1.0</v>
      </c>
      <c r="U160" s="4" t="s">
        <v>558</v>
      </c>
    </row>
    <row r="161">
      <c r="A161" s="3" t="s">
        <v>1665</v>
      </c>
      <c r="B161" s="3" t="s">
        <v>38</v>
      </c>
      <c r="C161" s="3" t="s">
        <v>1666</v>
      </c>
      <c r="D161" s="8" t="s">
        <v>48</v>
      </c>
      <c r="E161" s="7">
        <v>45939.0</v>
      </c>
      <c r="F161" s="20">
        <v>1.998E7</v>
      </c>
      <c r="G161" s="20">
        <v>1.08E7</v>
      </c>
      <c r="H161" s="5">
        <v>49.0</v>
      </c>
      <c r="I161" s="3" t="s">
        <v>496</v>
      </c>
      <c r="J161" s="5">
        <v>2020.0</v>
      </c>
      <c r="K161" s="29" t="s">
        <v>1852</v>
      </c>
      <c r="N161" s="27">
        <f t="shared" si="1"/>
        <v>0.5405405405</v>
      </c>
      <c r="O161" s="28"/>
      <c r="P161" s="4">
        <v>1.0</v>
      </c>
      <c r="Q161" s="4">
        <v>1.0</v>
      </c>
      <c r="R161" s="4">
        <v>1.0</v>
      </c>
      <c r="S161" s="4">
        <v>0.0</v>
      </c>
      <c r="T161" s="4">
        <v>1.0</v>
      </c>
      <c r="U161" s="4" t="s">
        <v>558</v>
      </c>
    </row>
    <row r="162">
      <c r="A162" s="3" t="s">
        <v>774</v>
      </c>
      <c r="B162" s="3" t="s">
        <v>59</v>
      </c>
      <c r="C162" s="3" t="s">
        <v>775</v>
      </c>
      <c r="D162" s="8" t="s">
        <v>52</v>
      </c>
      <c r="E162" s="7">
        <v>45505.0</v>
      </c>
      <c r="F162" s="20">
        <v>1.1E7</v>
      </c>
      <c r="G162" s="20">
        <v>1.1E7</v>
      </c>
      <c r="H162" s="4">
        <v>6.0</v>
      </c>
      <c r="I162" s="5" t="s">
        <v>584</v>
      </c>
      <c r="J162" s="3">
        <v>2023.0</v>
      </c>
      <c r="K162" s="23" t="s">
        <v>1206</v>
      </c>
      <c r="N162" s="27">
        <f t="shared" si="1"/>
        <v>1</v>
      </c>
      <c r="O162" s="28"/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 t="s">
        <v>550</v>
      </c>
    </row>
    <row r="163">
      <c r="A163" s="3" t="s">
        <v>1328</v>
      </c>
      <c r="B163" s="3" t="s">
        <v>289</v>
      </c>
      <c r="C163" s="3" t="s">
        <v>1329</v>
      </c>
      <c r="D163" s="8" t="s">
        <v>52</v>
      </c>
      <c r="E163" s="7">
        <v>45478.0</v>
      </c>
      <c r="F163" s="20">
        <v>1.7442E7</v>
      </c>
      <c r="G163" s="20">
        <v>1.134E7</v>
      </c>
      <c r="H163" s="5">
        <v>111.0</v>
      </c>
      <c r="I163" s="3" t="s">
        <v>514</v>
      </c>
      <c r="J163" s="5">
        <v>2012.0</v>
      </c>
      <c r="K163" s="29" t="s">
        <v>1824</v>
      </c>
      <c r="N163" s="27">
        <f t="shared" si="1"/>
        <v>0.6501547988</v>
      </c>
      <c r="O163" s="28">
        <v>1.12E7</v>
      </c>
      <c r="P163" s="4">
        <v>0.0</v>
      </c>
      <c r="Q163" s="4">
        <v>0.0</v>
      </c>
      <c r="R163" s="4">
        <v>2.0</v>
      </c>
      <c r="S163" s="4">
        <v>1.0</v>
      </c>
      <c r="T163" s="4">
        <v>1.0</v>
      </c>
      <c r="U163" s="4" t="s">
        <v>569</v>
      </c>
    </row>
    <row r="164">
      <c r="A164" s="3" t="s">
        <v>1257</v>
      </c>
      <c r="B164" s="3" t="s">
        <v>38</v>
      </c>
      <c r="C164" s="3" t="s">
        <v>1258</v>
      </c>
      <c r="D164" s="8" t="s">
        <v>52</v>
      </c>
      <c r="E164" s="7">
        <v>42987.0</v>
      </c>
      <c r="F164" s="20">
        <v>1.296E7</v>
      </c>
      <c r="G164" s="20">
        <v>1.188E7</v>
      </c>
      <c r="H164" s="3">
        <v>239.0</v>
      </c>
      <c r="I164" s="3" t="s">
        <v>514</v>
      </c>
      <c r="J164" s="3">
        <v>2025.0</v>
      </c>
      <c r="K164" s="23" t="s">
        <v>1260</v>
      </c>
      <c r="N164" s="27">
        <f t="shared" si="1"/>
        <v>0.9166666667</v>
      </c>
      <c r="O164" s="28">
        <v>3.84E7</v>
      </c>
      <c r="P164" s="4">
        <v>2.0</v>
      </c>
      <c r="Q164" s="4">
        <v>0.0</v>
      </c>
      <c r="R164" s="4">
        <v>2.0</v>
      </c>
      <c r="S164" s="4">
        <v>2.0</v>
      </c>
      <c r="T164" s="4">
        <v>2.0</v>
      </c>
      <c r="U164" s="4" t="s">
        <v>558</v>
      </c>
    </row>
    <row r="165">
      <c r="A165" s="3" t="s">
        <v>1341</v>
      </c>
      <c r="B165" s="3" t="s">
        <v>59</v>
      </c>
      <c r="C165" s="3" t="s">
        <v>1342</v>
      </c>
      <c r="D165" s="8" t="s">
        <v>52</v>
      </c>
      <c r="E165" s="7">
        <v>45912.0</v>
      </c>
      <c r="F165" s="20">
        <v>1.188E7</v>
      </c>
      <c r="G165" s="20">
        <v>1.188E7</v>
      </c>
      <c r="H165" s="5">
        <v>26.0</v>
      </c>
      <c r="I165" s="3" t="s">
        <v>496</v>
      </c>
      <c r="J165" s="5">
        <v>2021.0</v>
      </c>
      <c r="K165" s="29" t="s">
        <v>1832</v>
      </c>
      <c r="N165" s="27">
        <f t="shared" si="1"/>
        <v>1</v>
      </c>
      <c r="O165" s="28"/>
      <c r="P165" s="4">
        <v>1.0</v>
      </c>
      <c r="Q165" s="4">
        <v>1.0</v>
      </c>
      <c r="R165" s="4">
        <v>1.0</v>
      </c>
      <c r="S165" s="4">
        <v>2.0</v>
      </c>
      <c r="T165" s="4">
        <v>1.0</v>
      </c>
      <c r="U165" s="4" t="s">
        <v>558</v>
      </c>
    </row>
    <row r="166">
      <c r="A166" s="3" t="s">
        <v>777</v>
      </c>
      <c r="B166" s="3" t="s">
        <v>76</v>
      </c>
      <c r="C166" s="3" t="s">
        <v>778</v>
      </c>
      <c r="D166" s="8" t="s">
        <v>48</v>
      </c>
      <c r="E166" s="7">
        <v>45925.0</v>
      </c>
      <c r="F166" s="20">
        <v>1.5E7</v>
      </c>
      <c r="G166" s="20">
        <v>1.2E7</v>
      </c>
      <c r="H166" s="3">
        <v>54.0</v>
      </c>
      <c r="I166" s="3" t="s">
        <v>538</v>
      </c>
      <c r="J166" s="3">
        <v>2018.0</v>
      </c>
      <c r="K166" s="23" t="s">
        <v>1217</v>
      </c>
      <c r="N166" s="27">
        <f t="shared" si="1"/>
        <v>0.8</v>
      </c>
      <c r="O166" s="28">
        <v>1800000.0</v>
      </c>
      <c r="P166" s="4">
        <v>2.0</v>
      </c>
      <c r="Q166" s="4">
        <v>0.0</v>
      </c>
      <c r="R166" s="4">
        <v>2.0</v>
      </c>
      <c r="S166" s="4">
        <v>0.0</v>
      </c>
      <c r="T166" s="4">
        <v>1.0</v>
      </c>
      <c r="U166" s="4" t="s">
        <v>558</v>
      </c>
    </row>
    <row r="167">
      <c r="A167" s="3" t="s">
        <v>785</v>
      </c>
      <c r="B167" s="3" t="s">
        <v>76</v>
      </c>
      <c r="C167" s="3" t="s">
        <v>786</v>
      </c>
      <c r="D167" s="8" t="s">
        <v>52</v>
      </c>
      <c r="E167" s="7">
        <v>45916.0</v>
      </c>
      <c r="F167" s="20">
        <v>1.9935543E7</v>
      </c>
      <c r="G167" s="20">
        <v>1.2E7</v>
      </c>
      <c r="H167" s="3">
        <v>190.0</v>
      </c>
      <c r="I167" s="3" t="s">
        <v>514</v>
      </c>
      <c r="J167" s="3">
        <v>2015.0</v>
      </c>
      <c r="K167" s="23" t="s">
        <v>1224</v>
      </c>
      <c r="N167" s="27">
        <f t="shared" si="1"/>
        <v>0.6019399622</v>
      </c>
      <c r="O167" s="28">
        <v>1.51E7</v>
      </c>
      <c r="P167" s="4">
        <v>1.0</v>
      </c>
      <c r="Q167" s="4">
        <v>0.0</v>
      </c>
      <c r="R167" s="4">
        <v>2.0</v>
      </c>
      <c r="S167" s="4">
        <v>2.0</v>
      </c>
      <c r="T167" s="4">
        <v>6.0</v>
      </c>
      <c r="U167" s="4" t="s">
        <v>558</v>
      </c>
    </row>
    <row r="168">
      <c r="A168" s="3" t="s">
        <v>792</v>
      </c>
      <c r="B168" s="3" t="s">
        <v>76</v>
      </c>
      <c r="C168" s="3" t="s">
        <v>793</v>
      </c>
      <c r="D168" s="8" t="s">
        <v>52</v>
      </c>
      <c r="E168" s="7">
        <v>44529.0</v>
      </c>
      <c r="F168" s="20">
        <v>1.5365459E7</v>
      </c>
      <c r="G168" s="20">
        <v>1.2E7</v>
      </c>
      <c r="H168" s="3">
        <v>68.0</v>
      </c>
      <c r="I168" s="3" t="s">
        <v>538</v>
      </c>
      <c r="J168" s="3">
        <v>2017.0</v>
      </c>
      <c r="K168" s="23" t="s">
        <v>1231</v>
      </c>
      <c r="N168" s="27">
        <f t="shared" si="1"/>
        <v>0.7809724395</v>
      </c>
      <c r="O168" s="28">
        <v>2000000.0</v>
      </c>
      <c r="P168" s="4">
        <v>1.0</v>
      </c>
      <c r="Q168" s="4">
        <v>1.0</v>
      </c>
      <c r="R168" s="4">
        <v>4.0</v>
      </c>
      <c r="S168" s="4">
        <v>0.0</v>
      </c>
      <c r="T168" s="4">
        <v>2.0</v>
      </c>
      <c r="U168" s="4" t="s">
        <v>558</v>
      </c>
    </row>
    <row r="169">
      <c r="A169" s="3" t="s">
        <v>795</v>
      </c>
      <c r="B169" s="3" t="s">
        <v>289</v>
      </c>
      <c r="C169" s="3" t="s">
        <v>796</v>
      </c>
      <c r="D169" s="8" t="s">
        <v>52</v>
      </c>
      <c r="E169" s="7">
        <v>43766.0</v>
      </c>
      <c r="F169" s="20">
        <v>1.6635985E7</v>
      </c>
      <c r="G169" s="20">
        <v>1.2E7</v>
      </c>
      <c r="H169" s="3">
        <v>40.0</v>
      </c>
      <c r="I169" s="3" t="s">
        <v>496</v>
      </c>
      <c r="J169" s="3">
        <v>2016.0</v>
      </c>
      <c r="K169" s="23" t="s">
        <v>1887</v>
      </c>
      <c r="N169" s="27">
        <f t="shared" si="1"/>
        <v>0.7213278925</v>
      </c>
      <c r="O169" s="28"/>
      <c r="P169" s="4">
        <v>0.0</v>
      </c>
      <c r="Q169" s="4">
        <v>5.0</v>
      </c>
      <c r="R169" s="4">
        <v>6.0</v>
      </c>
      <c r="S169" s="4">
        <v>1.0</v>
      </c>
      <c r="T169" s="4">
        <v>2.0</v>
      </c>
      <c r="U169" s="4" t="s">
        <v>558</v>
      </c>
    </row>
    <row r="170">
      <c r="A170" s="3" t="s">
        <v>559</v>
      </c>
      <c r="B170" s="3" t="s">
        <v>289</v>
      </c>
      <c r="C170" s="3" t="s">
        <v>560</v>
      </c>
      <c r="D170" s="8" t="s">
        <v>48</v>
      </c>
      <c r="E170" s="7">
        <v>45485.0</v>
      </c>
      <c r="F170" s="20">
        <v>1.96E7</v>
      </c>
      <c r="G170" s="20">
        <v>1.21E7</v>
      </c>
      <c r="H170" s="4">
        <v>590.0</v>
      </c>
      <c r="I170" s="5" t="s">
        <v>783</v>
      </c>
      <c r="J170" s="3">
        <v>2016.0</v>
      </c>
      <c r="K170" s="23" t="s">
        <v>1888</v>
      </c>
      <c r="N170" s="27">
        <f t="shared" si="1"/>
        <v>0.6173469388</v>
      </c>
      <c r="O170" s="28">
        <v>4.55E7</v>
      </c>
      <c r="P170" s="4">
        <v>0.0</v>
      </c>
      <c r="Q170" s="4">
        <v>0.0</v>
      </c>
      <c r="R170" s="4">
        <v>1.0</v>
      </c>
      <c r="S170" s="4">
        <v>0.0</v>
      </c>
      <c r="T170" s="4">
        <v>5.0</v>
      </c>
      <c r="U170" s="4" t="s">
        <v>558</v>
      </c>
    </row>
    <row r="171">
      <c r="A171" s="3" t="s">
        <v>1672</v>
      </c>
      <c r="B171" s="3" t="s">
        <v>38</v>
      </c>
      <c r="C171" s="3" t="s">
        <v>368</v>
      </c>
      <c r="D171" s="8" t="s">
        <v>48</v>
      </c>
      <c r="E171" s="7">
        <v>45474.0</v>
      </c>
      <c r="F171" s="20">
        <v>1.93E7</v>
      </c>
      <c r="G171" s="20">
        <v>1.224E7</v>
      </c>
      <c r="H171" s="5">
        <v>267.0</v>
      </c>
      <c r="I171" s="3" t="s">
        <v>905</v>
      </c>
      <c r="J171" s="5">
        <v>2015.0</v>
      </c>
      <c r="K171" s="29" t="s">
        <v>1890</v>
      </c>
      <c r="N171" s="27">
        <f t="shared" si="1"/>
        <v>0.6341968912</v>
      </c>
      <c r="O171" s="4" t="e">
        <v>#N/A</v>
      </c>
      <c r="P171" s="4" t="e">
        <v>#N/A</v>
      </c>
      <c r="Q171" s="4" t="e">
        <v>#N/A</v>
      </c>
      <c r="R171" s="4" t="e">
        <v>#N/A</v>
      </c>
      <c r="S171" s="4" t="e">
        <v>#N/A</v>
      </c>
      <c r="T171" s="4" t="e">
        <v>#N/A</v>
      </c>
      <c r="U171" s="4" t="e">
        <v>#N/A</v>
      </c>
    </row>
    <row r="172">
      <c r="A172" s="3" t="s">
        <v>800</v>
      </c>
      <c r="B172" s="3" t="s">
        <v>752</v>
      </c>
      <c r="C172" s="3" t="s">
        <v>802</v>
      </c>
      <c r="D172" s="8" t="s">
        <v>48</v>
      </c>
      <c r="E172" s="7">
        <v>45544.0</v>
      </c>
      <c r="F172" s="20">
        <v>9.0268052E7</v>
      </c>
      <c r="G172" s="20">
        <v>1.25E7</v>
      </c>
      <c r="H172" s="3">
        <v>131.0</v>
      </c>
      <c r="I172" s="3" t="s">
        <v>905</v>
      </c>
      <c r="J172" s="3">
        <v>2019.0</v>
      </c>
      <c r="K172" s="23" t="s">
        <v>1256</v>
      </c>
      <c r="N172" s="27">
        <f t="shared" si="1"/>
        <v>0.1384764568</v>
      </c>
      <c r="O172" s="28">
        <v>1.5E7</v>
      </c>
      <c r="P172" s="4">
        <v>0.0</v>
      </c>
      <c r="Q172" s="4">
        <v>0.0</v>
      </c>
      <c r="R172" s="4">
        <v>5.0</v>
      </c>
      <c r="S172" s="4">
        <v>1.0</v>
      </c>
      <c r="T172" s="4">
        <v>1.0</v>
      </c>
      <c r="U172" s="4" t="s">
        <v>550</v>
      </c>
    </row>
    <row r="173">
      <c r="A173" s="3" t="s">
        <v>1864</v>
      </c>
      <c r="B173" s="3" t="s">
        <v>76</v>
      </c>
      <c r="C173" s="3" t="s">
        <v>1865</v>
      </c>
      <c r="D173" s="8" t="s">
        <v>48</v>
      </c>
      <c r="E173" s="7">
        <v>45243.0</v>
      </c>
      <c r="F173" s="20">
        <v>3.4091248E7</v>
      </c>
      <c r="G173" s="20">
        <v>1.3014E7</v>
      </c>
      <c r="H173" s="5">
        <v>112.0</v>
      </c>
      <c r="I173" s="3" t="s">
        <v>514</v>
      </c>
      <c r="J173" s="5">
        <v>2020.0</v>
      </c>
      <c r="K173" s="29" t="s">
        <v>1894</v>
      </c>
      <c r="N173" s="27">
        <f t="shared" si="1"/>
        <v>0.381740205</v>
      </c>
      <c r="O173" s="28">
        <v>5000000.0</v>
      </c>
      <c r="P173" s="4">
        <v>0.0</v>
      </c>
      <c r="Q173" s="4">
        <v>4.0</v>
      </c>
      <c r="R173" s="4">
        <v>5.0</v>
      </c>
      <c r="S173" s="4">
        <v>2.0</v>
      </c>
      <c r="T173" s="4">
        <v>3.0</v>
      </c>
      <c r="U173" s="4" t="s">
        <v>558</v>
      </c>
    </row>
    <row r="174">
      <c r="A174" s="3" t="s">
        <v>1868</v>
      </c>
      <c r="B174" s="3" t="s">
        <v>76</v>
      </c>
      <c r="C174" s="3" t="s">
        <v>1869</v>
      </c>
      <c r="D174" s="8" t="s">
        <v>48</v>
      </c>
      <c r="E174" s="7">
        <v>45810.0</v>
      </c>
      <c r="F174" s="20">
        <v>5.472E7</v>
      </c>
      <c r="G174" s="20">
        <v>1.44E7</v>
      </c>
      <c r="H174" s="4">
        <v>37.0</v>
      </c>
      <c r="I174" s="5" t="s">
        <v>496</v>
      </c>
      <c r="J174" s="5">
        <v>2022.0</v>
      </c>
      <c r="K174" s="29" t="s">
        <v>1897</v>
      </c>
      <c r="N174" s="27">
        <f t="shared" si="1"/>
        <v>0.2631578947</v>
      </c>
      <c r="O174" s="28">
        <v>1000000.0</v>
      </c>
      <c r="P174" s="4">
        <v>1.0</v>
      </c>
      <c r="Q174" s="4">
        <v>1.0</v>
      </c>
      <c r="R174" s="4">
        <v>2.0</v>
      </c>
      <c r="S174" s="4">
        <v>1.0</v>
      </c>
      <c r="T174" s="4">
        <v>1.0</v>
      </c>
      <c r="U174" s="4" t="s">
        <v>569</v>
      </c>
    </row>
    <row r="175">
      <c r="A175" s="3" t="s">
        <v>570</v>
      </c>
      <c r="B175" s="3" t="s">
        <v>76</v>
      </c>
      <c r="C175" s="3" t="s">
        <v>571</v>
      </c>
      <c r="D175" s="8" t="s">
        <v>48</v>
      </c>
      <c r="E175" s="7">
        <v>44510.0</v>
      </c>
      <c r="F175" s="20">
        <v>1.5E7</v>
      </c>
      <c r="G175" s="20">
        <v>1.5E7</v>
      </c>
      <c r="H175" s="3">
        <v>176.0</v>
      </c>
      <c r="I175" s="3" t="s">
        <v>514</v>
      </c>
      <c r="J175" s="3">
        <v>2018.0</v>
      </c>
      <c r="K175" s="23" t="s">
        <v>909</v>
      </c>
      <c r="N175" s="27">
        <f t="shared" si="1"/>
        <v>1</v>
      </c>
      <c r="O175" s="28">
        <v>2.92E7</v>
      </c>
      <c r="P175" s="4">
        <v>0.0</v>
      </c>
      <c r="Q175" s="4">
        <v>1.0</v>
      </c>
      <c r="R175" s="4">
        <v>1.0</v>
      </c>
      <c r="S175" s="4">
        <v>1.0</v>
      </c>
      <c r="T175" s="4">
        <v>3.0</v>
      </c>
      <c r="U175" s="4" t="s">
        <v>569</v>
      </c>
    </row>
    <row r="176">
      <c r="A176" s="3" t="s">
        <v>573</v>
      </c>
      <c r="B176" s="3" t="s">
        <v>76</v>
      </c>
      <c r="C176" s="3" t="s">
        <v>574</v>
      </c>
      <c r="D176" s="8" t="s">
        <v>48</v>
      </c>
      <c r="E176" s="7">
        <v>44091.0</v>
      </c>
      <c r="F176" s="20">
        <v>2.0E7</v>
      </c>
      <c r="G176" s="20">
        <v>1.5E7</v>
      </c>
      <c r="H176" s="3">
        <v>141.0</v>
      </c>
      <c r="I176" s="3" t="s">
        <v>514</v>
      </c>
      <c r="J176" s="3">
        <v>2016.0</v>
      </c>
      <c r="K176" s="23" t="s">
        <v>917</v>
      </c>
      <c r="N176" s="27">
        <f t="shared" si="1"/>
        <v>0.75</v>
      </c>
      <c r="O176" s="28">
        <v>1.34E7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 t="s">
        <v>558</v>
      </c>
    </row>
    <row r="177">
      <c r="A177" s="3" t="s">
        <v>823</v>
      </c>
      <c r="B177" s="3" t="s">
        <v>76</v>
      </c>
      <c r="C177" s="3" t="s">
        <v>824</v>
      </c>
      <c r="D177" s="8" t="s">
        <v>48</v>
      </c>
      <c r="E177" s="7">
        <v>44470.0</v>
      </c>
      <c r="F177" s="20">
        <v>1.85E7</v>
      </c>
      <c r="G177" s="20">
        <v>1.5E7</v>
      </c>
      <c r="H177" s="3">
        <v>342.0</v>
      </c>
      <c r="I177" s="3" t="s">
        <v>905</v>
      </c>
      <c r="J177" s="3">
        <v>2019.0</v>
      </c>
      <c r="K177" s="23" t="s">
        <v>1276</v>
      </c>
      <c r="N177" s="27">
        <f t="shared" si="1"/>
        <v>0.8108108108</v>
      </c>
      <c r="O177" s="28"/>
      <c r="P177" s="4">
        <v>0.0</v>
      </c>
      <c r="Q177" s="4">
        <v>0.0</v>
      </c>
      <c r="R177" s="4">
        <v>1.0</v>
      </c>
      <c r="S177" s="4">
        <v>1.0</v>
      </c>
      <c r="T177" s="4">
        <v>2.0</v>
      </c>
      <c r="U177" s="4" t="s">
        <v>550</v>
      </c>
    </row>
    <row r="178">
      <c r="A178" s="3" t="s">
        <v>826</v>
      </c>
      <c r="B178" s="3" t="s">
        <v>289</v>
      </c>
      <c r="C178" s="3" t="s">
        <v>827</v>
      </c>
      <c r="D178" s="8" t="s">
        <v>52</v>
      </c>
      <c r="E178" s="7">
        <v>44825.0</v>
      </c>
      <c r="F178" s="20">
        <v>2.94E7</v>
      </c>
      <c r="G178" s="20">
        <v>1.5E7</v>
      </c>
      <c r="H178" s="3">
        <v>68.0</v>
      </c>
      <c r="I178" s="3" t="s">
        <v>538</v>
      </c>
      <c r="J178" s="3">
        <v>2012.0</v>
      </c>
      <c r="K178" s="23" t="s">
        <v>1281</v>
      </c>
      <c r="N178" s="27">
        <f t="shared" si="1"/>
        <v>0.5102040816</v>
      </c>
      <c r="O178" s="28">
        <v>5000000.0</v>
      </c>
      <c r="P178" s="4">
        <v>1.0</v>
      </c>
      <c r="Q178" s="4">
        <v>1.0</v>
      </c>
      <c r="R178" s="4">
        <v>0.0</v>
      </c>
      <c r="S178" s="4">
        <v>3.0</v>
      </c>
      <c r="T178" s="4">
        <v>6.0</v>
      </c>
      <c r="U178" s="4" t="s">
        <v>558</v>
      </c>
    </row>
    <row r="179">
      <c r="A179" s="3" t="s">
        <v>1354</v>
      </c>
      <c r="B179" s="3" t="s">
        <v>752</v>
      </c>
      <c r="C179" s="3" t="s">
        <v>1355</v>
      </c>
      <c r="D179" s="8" t="s">
        <v>52</v>
      </c>
      <c r="E179" s="7">
        <v>45630.0</v>
      </c>
      <c r="F179" s="20">
        <v>1.62E7</v>
      </c>
      <c r="G179" s="20">
        <v>1.62E7</v>
      </c>
      <c r="H179" s="5">
        <v>48.0</v>
      </c>
      <c r="I179" s="3" t="s">
        <v>496</v>
      </c>
      <c r="J179" s="5">
        <v>2017.0</v>
      </c>
      <c r="K179" s="29" t="s">
        <v>1851</v>
      </c>
      <c r="N179" s="27">
        <f t="shared" si="1"/>
        <v>1</v>
      </c>
      <c r="O179" s="28"/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 t="s">
        <v>569</v>
      </c>
    </row>
    <row r="180">
      <c r="A180" s="3" t="s">
        <v>1876</v>
      </c>
      <c r="B180" s="3" t="s">
        <v>76</v>
      </c>
      <c r="C180" s="3" t="s">
        <v>1877</v>
      </c>
      <c r="D180" s="8" t="s">
        <v>48</v>
      </c>
      <c r="E180" s="7">
        <v>46062.0</v>
      </c>
      <c r="F180" s="20">
        <v>1.89E7</v>
      </c>
      <c r="G180" s="20">
        <v>1.62E7</v>
      </c>
      <c r="H180" s="5">
        <v>26.0</v>
      </c>
      <c r="I180" s="3" t="s">
        <v>496</v>
      </c>
      <c r="J180" s="5">
        <v>2023.0</v>
      </c>
      <c r="K180" s="29" t="s">
        <v>1908</v>
      </c>
      <c r="N180" s="27">
        <f t="shared" si="1"/>
        <v>0.8571428571</v>
      </c>
      <c r="O180" s="28">
        <v>200000.0</v>
      </c>
      <c r="P180" s="4">
        <v>1.0</v>
      </c>
      <c r="Q180" s="4">
        <v>0.0</v>
      </c>
      <c r="R180" s="4">
        <v>1.0</v>
      </c>
      <c r="S180" s="4">
        <v>0.0</v>
      </c>
      <c r="T180" s="4">
        <v>0.0</v>
      </c>
      <c r="U180" s="4" t="s">
        <v>558</v>
      </c>
    </row>
    <row r="181">
      <c r="A181" s="3" t="s">
        <v>1880</v>
      </c>
      <c r="B181" s="3" t="s">
        <v>76</v>
      </c>
      <c r="C181" s="3" t="s">
        <v>1504</v>
      </c>
      <c r="D181" s="8" t="s">
        <v>52</v>
      </c>
      <c r="E181" s="7">
        <v>45587.0</v>
      </c>
      <c r="F181" s="20">
        <v>2.3368167E7</v>
      </c>
      <c r="G181" s="20">
        <v>1.638E7</v>
      </c>
      <c r="H181" s="5">
        <v>113.0</v>
      </c>
      <c r="I181" s="3" t="s">
        <v>514</v>
      </c>
      <c r="J181" s="5">
        <v>2017.0</v>
      </c>
      <c r="K181" s="29" t="s">
        <v>1911</v>
      </c>
      <c r="N181" s="27">
        <f t="shared" si="1"/>
        <v>0.7009535664</v>
      </c>
      <c r="O181" s="28">
        <v>1.43E7</v>
      </c>
      <c r="P181" s="4">
        <v>1.0</v>
      </c>
      <c r="Q181" s="4">
        <v>5.0</v>
      </c>
      <c r="R181" s="4">
        <v>1.0</v>
      </c>
      <c r="S181" s="4">
        <v>2.0</v>
      </c>
      <c r="T181" s="4">
        <v>0.0</v>
      </c>
      <c r="U181" s="4" t="s">
        <v>558</v>
      </c>
    </row>
    <row r="182">
      <c r="A182" s="3" t="s">
        <v>836</v>
      </c>
      <c r="B182" s="3" t="s">
        <v>38</v>
      </c>
      <c r="C182" s="3" t="s">
        <v>837</v>
      </c>
      <c r="D182" s="8" t="s">
        <v>48</v>
      </c>
      <c r="E182" s="7">
        <v>45685.0</v>
      </c>
      <c r="F182" s="20">
        <v>1.8E7</v>
      </c>
      <c r="G182" s="20">
        <v>1.8E7</v>
      </c>
      <c r="H182" s="3">
        <v>76.0</v>
      </c>
      <c r="I182" s="3" t="s">
        <v>538</v>
      </c>
      <c r="J182" s="3">
        <v>2023.0</v>
      </c>
      <c r="K182" s="23" t="s">
        <v>1288</v>
      </c>
      <c r="N182" s="27">
        <f t="shared" si="1"/>
        <v>1</v>
      </c>
      <c r="O182" s="28"/>
      <c r="P182" s="4">
        <v>0.0</v>
      </c>
      <c r="Q182" s="4">
        <v>0.0</v>
      </c>
      <c r="R182" s="4">
        <v>0.0</v>
      </c>
      <c r="S182" s="4">
        <v>0.0</v>
      </c>
      <c r="T182" s="4">
        <v>0.0</v>
      </c>
      <c r="U182" s="4" t="s">
        <v>558</v>
      </c>
    </row>
    <row r="183">
      <c r="A183" s="3" t="s">
        <v>1691</v>
      </c>
      <c r="B183" s="3" t="s">
        <v>76</v>
      </c>
      <c r="C183" s="3" t="s">
        <v>1692</v>
      </c>
      <c r="D183" s="8" t="s">
        <v>48</v>
      </c>
      <c r="E183" s="7">
        <v>46075.0</v>
      </c>
      <c r="F183" s="20">
        <v>2.3313393E7</v>
      </c>
      <c r="G183" s="20">
        <v>1.8E7</v>
      </c>
      <c r="H183" s="5">
        <v>53.0</v>
      </c>
      <c r="I183" s="3" t="s">
        <v>538</v>
      </c>
      <c r="J183" s="5">
        <v>2022.0</v>
      </c>
      <c r="K183" s="29" t="s">
        <v>1913</v>
      </c>
      <c r="N183" s="27">
        <f t="shared" si="1"/>
        <v>0.7720883871</v>
      </c>
      <c r="O183" s="28"/>
      <c r="P183" s="4">
        <v>0.0</v>
      </c>
      <c r="Q183" s="4">
        <v>0.0</v>
      </c>
      <c r="R183" s="4">
        <v>2.0</v>
      </c>
      <c r="S183" s="4">
        <v>1.0</v>
      </c>
      <c r="T183" s="4">
        <v>3.0</v>
      </c>
      <c r="U183" s="4" t="s">
        <v>558</v>
      </c>
    </row>
    <row r="184">
      <c r="A184" s="3" t="s">
        <v>1701</v>
      </c>
      <c r="B184" s="3" t="s">
        <v>76</v>
      </c>
      <c r="C184" s="3" t="s">
        <v>1702</v>
      </c>
      <c r="D184" s="8" t="s">
        <v>48</v>
      </c>
      <c r="E184" s="7">
        <v>45868.0</v>
      </c>
      <c r="F184" s="20">
        <v>3.1131109E7</v>
      </c>
      <c r="G184" s="20">
        <v>1.8E7</v>
      </c>
      <c r="H184" s="5">
        <v>85.0</v>
      </c>
      <c r="I184" s="3" t="s">
        <v>538</v>
      </c>
      <c r="J184" s="5">
        <v>2022.0</v>
      </c>
      <c r="K184" s="29" t="s">
        <v>1916</v>
      </c>
      <c r="N184" s="27">
        <f t="shared" si="1"/>
        <v>0.578199768</v>
      </c>
      <c r="O184" s="28"/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 t="s">
        <v>550</v>
      </c>
    </row>
    <row r="185">
      <c r="A185" s="3" t="s">
        <v>1705</v>
      </c>
      <c r="B185" s="3" t="s">
        <v>59</v>
      </c>
      <c r="C185" s="3" t="s">
        <v>1706</v>
      </c>
      <c r="D185" s="8" t="s">
        <v>48</v>
      </c>
      <c r="E185" s="7">
        <v>46009.0</v>
      </c>
      <c r="F185" s="20">
        <v>1.8E7</v>
      </c>
      <c r="G185" s="20">
        <v>1.8E7</v>
      </c>
      <c r="H185" s="5">
        <v>89.0</v>
      </c>
      <c r="I185" s="3" t="s">
        <v>538</v>
      </c>
      <c r="J185" s="5">
        <v>2025.0</v>
      </c>
      <c r="K185" s="29" t="s">
        <v>1921</v>
      </c>
      <c r="N185" s="27">
        <f t="shared" si="1"/>
        <v>1</v>
      </c>
      <c r="O185" s="28"/>
      <c r="P185" s="4">
        <v>1.0</v>
      </c>
      <c r="Q185" s="4">
        <v>1.0</v>
      </c>
      <c r="R185" s="4">
        <v>1.0</v>
      </c>
      <c r="S185" s="4">
        <v>0.0</v>
      </c>
      <c r="T185" s="4">
        <v>1.0</v>
      </c>
      <c r="U185" s="4" t="s">
        <v>558</v>
      </c>
    </row>
    <row r="186">
      <c r="A186" s="3" t="s">
        <v>1708</v>
      </c>
      <c r="B186" s="3" t="s">
        <v>38</v>
      </c>
      <c r="C186" s="3" t="s">
        <v>735</v>
      </c>
      <c r="D186" s="8" t="s">
        <v>48</v>
      </c>
      <c r="E186" s="7">
        <v>45547.0</v>
      </c>
      <c r="F186" s="20">
        <v>4.4548923E7</v>
      </c>
      <c r="G186" s="20">
        <v>1.8E7</v>
      </c>
      <c r="H186" s="5">
        <v>1105.0</v>
      </c>
      <c r="I186" s="3" t="s">
        <v>1144</v>
      </c>
      <c r="J186" s="5">
        <v>2016.0</v>
      </c>
      <c r="K186" s="29" t="s">
        <v>1923</v>
      </c>
      <c r="N186" s="27">
        <f t="shared" si="1"/>
        <v>0.404050172</v>
      </c>
      <c r="O186" s="4" t="e">
        <v>#N/A</v>
      </c>
      <c r="P186" s="4" t="e">
        <v>#N/A</v>
      </c>
      <c r="Q186" s="4" t="e">
        <v>#N/A</v>
      </c>
      <c r="R186" s="4" t="e">
        <v>#N/A</v>
      </c>
      <c r="S186" s="4" t="e">
        <v>#N/A</v>
      </c>
      <c r="T186" s="4" t="e">
        <v>#N/A</v>
      </c>
      <c r="U186" s="4" t="e">
        <v>#N/A</v>
      </c>
    </row>
    <row r="187">
      <c r="A187" s="3" t="s">
        <v>1358</v>
      </c>
      <c r="B187" s="3" t="s">
        <v>38</v>
      </c>
      <c r="C187" s="3" t="s">
        <v>1359</v>
      </c>
      <c r="D187" s="8" t="s">
        <v>52</v>
      </c>
      <c r="E187" s="7">
        <v>45498.0</v>
      </c>
      <c r="F187" s="20">
        <v>2.1276E7</v>
      </c>
      <c r="G187" s="20">
        <v>1.836E7</v>
      </c>
      <c r="H187" s="5">
        <v>43.0</v>
      </c>
      <c r="I187" s="3" t="s">
        <v>496</v>
      </c>
      <c r="J187" s="5">
        <v>2015.0</v>
      </c>
      <c r="K187" s="29" t="s">
        <v>1857</v>
      </c>
      <c r="N187" s="27">
        <f t="shared" si="1"/>
        <v>0.8629441624</v>
      </c>
      <c r="O187" s="28">
        <v>4500000.0</v>
      </c>
      <c r="P187" s="4">
        <v>0.0</v>
      </c>
      <c r="Q187" s="4">
        <v>0.0</v>
      </c>
      <c r="R187" s="4">
        <v>0.0</v>
      </c>
      <c r="S187" s="4">
        <v>0.0</v>
      </c>
      <c r="T187" s="4">
        <v>1.0</v>
      </c>
      <c r="U187" s="4" t="s">
        <v>569</v>
      </c>
    </row>
    <row r="188">
      <c r="A188" s="3" t="s">
        <v>1710</v>
      </c>
      <c r="B188" s="3" t="s">
        <v>289</v>
      </c>
      <c r="C188" s="3" t="s">
        <v>1712</v>
      </c>
      <c r="D188" s="8" t="s">
        <v>48</v>
      </c>
      <c r="E188" s="7">
        <v>45953.0</v>
      </c>
      <c r="F188" s="20">
        <v>2.898E7</v>
      </c>
      <c r="G188" s="20">
        <v>1.836E7</v>
      </c>
      <c r="H188" s="5">
        <v>102.0</v>
      </c>
      <c r="I188" s="3" t="s">
        <v>514</v>
      </c>
      <c r="J188" s="5">
        <v>2021.0</v>
      </c>
      <c r="K188" s="29" t="s">
        <v>1926</v>
      </c>
      <c r="N188" s="27">
        <f t="shared" si="1"/>
        <v>0.6335403727</v>
      </c>
      <c r="O188" s="28"/>
      <c r="P188" s="4">
        <v>1.0</v>
      </c>
      <c r="Q188" s="4">
        <v>9.0</v>
      </c>
      <c r="R188" s="4">
        <v>4.0</v>
      </c>
      <c r="S188" s="4">
        <v>0.0</v>
      </c>
      <c r="T188" s="4">
        <v>3.0</v>
      </c>
      <c r="U188" s="4" t="s">
        <v>569</v>
      </c>
    </row>
    <row r="189">
      <c r="A189" s="3" t="s">
        <v>1716</v>
      </c>
      <c r="B189" s="3" t="s">
        <v>76</v>
      </c>
      <c r="C189" s="3" t="s">
        <v>1227</v>
      </c>
      <c r="D189" s="8" t="s">
        <v>48</v>
      </c>
      <c r="E189" s="7">
        <v>45917.0</v>
      </c>
      <c r="F189" s="20">
        <v>2.4457449E7</v>
      </c>
      <c r="G189" s="20">
        <v>1.908E7</v>
      </c>
      <c r="H189" s="5">
        <v>110.0</v>
      </c>
      <c r="I189" s="3" t="s">
        <v>514</v>
      </c>
      <c r="J189" s="5">
        <v>2022.0</v>
      </c>
      <c r="K189" s="29" t="s">
        <v>1927</v>
      </c>
      <c r="N189" s="27">
        <f t="shared" si="1"/>
        <v>0.7801304216</v>
      </c>
      <c r="O189" s="28"/>
      <c r="P189" s="4">
        <v>0.0</v>
      </c>
      <c r="Q189" s="4">
        <v>3.0</v>
      </c>
      <c r="R189" s="4">
        <v>0.0</v>
      </c>
      <c r="S189" s="4">
        <v>2.0</v>
      </c>
      <c r="T189" s="4">
        <v>2.0</v>
      </c>
      <c r="U189" s="4" t="s">
        <v>558</v>
      </c>
    </row>
    <row r="190">
      <c r="A190" s="3" t="s">
        <v>1370</v>
      </c>
      <c r="B190" s="3" t="s">
        <v>289</v>
      </c>
      <c r="C190" s="3" t="s">
        <v>1371</v>
      </c>
      <c r="D190" s="8" t="s">
        <v>52</v>
      </c>
      <c r="E190" s="7">
        <v>45594.0</v>
      </c>
      <c r="F190" s="20">
        <v>3.9410667E7</v>
      </c>
      <c r="G190" s="20">
        <v>1.944E7</v>
      </c>
      <c r="H190" s="5">
        <v>239.0</v>
      </c>
      <c r="I190" s="3" t="s">
        <v>514</v>
      </c>
      <c r="J190" s="5">
        <v>2015.0</v>
      </c>
      <c r="K190" s="29" t="s">
        <v>1862</v>
      </c>
      <c r="N190" s="27">
        <f t="shared" si="1"/>
        <v>0.4932674699</v>
      </c>
      <c r="O190" s="28">
        <v>1.02E7</v>
      </c>
      <c r="P190" s="4">
        <v>0.0</v>
      </c>
      <c r="Q190" s="4">
        <v>0.0</v>
      </c>
      <c r="R190" s="4">
        <v>3.0</v>
      </c>
      <c r="S190" s="4">
        <v>2.0</v>
      </c>
      <c r="T190" s="4">
        <v>6.0</v>
      </c>
      <c r="U190" s="4" t="s">
        <v>558</v>
      </c>
    </row>
    <row r="191">
      <c r="A191" s="3" t="s">
        <v>1720</v>
      </c>
      <c r="B191" s="3" t="s">
        <v>76</v>
      </c>
      <c r="C191" s="3" t="s">
        <v>1721</v>
      </c>
      <c r="D191" s="8" t="s">
        <v>48</v>
      </c>
      <c r="E191" s="7">
        <v>45629.0</v>
      </c>
      <c r="F191" s="20">
        <v>2.934E7</v>
      </c>
      <c r="G191" s="20">
        <v>1.98E7</v>
      </c>
      <c r="H191" s="5">
        <v>153.0</v>
      </c>
      <c r="I191" s="3" t="s">
        <v>514</v>
      </c>
      <c r="J191" s="5">
        <v>2020.0</v>
      </c>
      <c r="K191" s="15" t="s">
        <v>1931</v>
      </c>
      <c r="N191" s="27">
        <f t="shared" si="1"/>
        <v>0.6748466258</v>
      </c>
      <c r="O191" s="28">
        <v>7500000.0</v>
      </c>
      <c r="P191" s="4">
        <v>0.0</v>
      </c>
      <c r="Q191" s="4">
        <v>1.0</v>
      </c>
      <c r="R191" s="4">
        <v>1.0</v>
      </c>
      <c r="S191" s="4">
        <v>3.0</v>
      </c>
      <c r="T191" s="4">
        <v>4.0</v>
      </c>
      <c r="U191" s="4" t="s">
        <v>558</v>
      </c>
    </row>
    <row r="192">
      <c r="A192" s="3" t="s">
        <v>603</v>
      </c>
      <c r="B192" s="3" t="s">
        <v>76</v>
      </c>
      <c r="C192" s="3" t="s">
        <v>604</v>
      </c>
      <c r="D192" s="8" t="s">
        <v>48</v>
      </c>
      <c r="E192" s="7">
        <v>43229.0</v>
      </c>
      <c r="F192" s="20">
        <v>2.0E7</v>
      </c>
      <c r="G192" s="20">
        <v>2.0E7</v>
      </c>
      <c r="H192" s="3">
        <v>29.0</v>
      </c>
      <c r="I192" s="3" t="s">
        <v>496</v>
      </c>
      <c r="J192" s="3">
        <v>2018.0</v>
      </c>
      <c r="K192" s="23" t="s">
        <v>960</v>
      </c>
      <c r="N192" s="27">
        <f t="shared" si="1"/>
        <v>1</v>
      </c>
      <c r="O192" s="28"/>
      <c r="P192" s="4">
        <v>0.0</v>
      </c>
      <c r="Q192" s="4">
        <v>0.0</v>
      </c>
      <c r="R192" s="4">
        <v>0.0</v>
      </c>
      <c r="S192" s="4">
        <v>0.0</v>
      </c>
      <c r="T192" s="4">
        <v>3.0</v>
      </c>
      <c r="U192" s="4" t="s">
        <v>569</v>
      </c>
    </row>
    <row r="193">
      <c r="A193" s="3" t="s">
        <v>878</v>
      </c>
      <c r="B193" s="3" t="s">
        <v>289</v>
      </c>
      <c r="C193" s="3" t="s">
        <v>879</v>
      </c>
      <c r="D193" s="8" t="s">
        <v>48</v>
      </c>
      <c r="E193" s="7">
        <v>45324.0</v>
      </c>
      <c r="F193" s="20">
        <v>5.08E7</v>
      </c>
      <c r="G193" s="20">
        <v>2.0E7</v>
      </c>
      <c r="H193" s="3">
        <v>55.0</v>
      </c>
      <c r="I193" s="3" t="s">
        <v>538</v>
      </c>
      <c r="J193" s="3">
        <v>2018.0</v>
      </c>
      <c r="K193" s="23" t="s">
        <v>1933</v>
      </c>
      <c r="N193" s="27">
        <f t="shared" si="1"/>
        <v>0.3937007874</v>
      </c>
      <c r="O193" s="28">
        <v>1.45E7</v>
      </c>
      <c r="P193" s="4">
        <v>1.0</v>
      </c>
      <c r="Q193" s="4">
        <v>0.0</v>
      </c>
      <c r="R193" s="4">
        <v>2.0</v>
      </c>
      <c r="S193" s="4">
        <v>1.0</v>
      </c>
      <c r="T193" s="4">
        <v>4.0</v>
      </c>
      <c r="U193" s="4" t="s">
        <v>558</v>
      </c>
    </row>
    <row r="194">
      <c r="A194" s="3" t="s">
        <v>888</v>
      </c>
      <c r="B194" s="3" t="s">
        <v>289</v>
      </c>
      <c r="C194" s="3" t="s">
        <v>640</v>
      </c>
      <c r="D194" s="8" t="s">
        <v>48</v>
      </c>
      <c r="E194" s="7">
        <v>45908.0</v>
      </c>
      <c r="F194" s="20">
        <v>8.6290928E7</v>
      </c>
      <c r="G194" s="20">
        <v>2.1E7</v>
      </c>
      <c r="H194" s="3">
        <v>349.0</v>
      </c>
      <c r="I194" s="3" t="s">
        <v>905</v>
      </c>
      <c r="J194" s="3">
        <v>2019.0</v>
      </c>
      <c r="K194" s="23" t="s">
        <v>1934</v>
      </c>
      <c r="N194" s="27">
        <f t="shared" si="1"/>
        <v>0.2433627785</v>
      </c>
      <c r="O194" s="28">
        <v>4500000.0</v>
      </c>
      <c r="P194" s="4">
        <v>0.0</v>
      </c>
      <c r="Q194" s="4">
        <v>0.0</v>
      </c>
      <c r="R194" s="4">
        <v>1.0</v>
      </c>
      <c r="S194" s="4">
        <v>4.0</v>
      </c>
      <c r="T194" s="4">
        <v>0.0</v>
      </c>
      <c r="U194" s="4" t="s">
        <v>569</v>
      </c>
    </row>
    <row r="195">
      <c r="A195" s="3" t="s">
        <v>892</v>
      </c>
      <c r="B195" s="3" t="s">
        <v>38</v>
      </c>
      <c r="C195" s="3" t="s">
        <v>893</v>
      </c>
      <c r="D195" s="8" t="s">
        <v>52</v>
      </c>
      <c r="E195" s="7">
        <v>45281.0</v>
      </c>
      <c r="F195" s="20">
        <v>1.12180004E8</v>
      </c>
      <c r="G195" s="20">
        <v>2.1E7</v>
      </c>
      <c r="H195" s="3">
        <v>696.0</v>
      </c>
      <c r="I195" s="3" t="s">
        <v>783</v>
      </c>
      <c r="J195" s="3">
        <v>2013.0</v>
      </c>
      <c r="K195" s="23" t="s">
        <v>1936</v>
      </c>
      <c r="N195" s="27">
        <f t="shared" si="1"/>
        <v>0.1871991376</v>
      </c>
      <c r="O195" s="28">
        <v>4.01E8</v>
      </c>
      <c r="P195" s="4">
        <v>1.0</v>
      </c>
      <c r="Q195" s="4">
        <v>2.0</v>
      </c>
      <c r="R195" s="4">
        <v>5.0</v>
      </c>
      <c r="S195" s="4">
        <v>2.0</v>
      </c>
      <c r="T195" s="4">
        <v>8.0</v>
      </c>
      <c r="U195" s="4" t="s">
        <v>569</v>
      </c>
    </row>
    <row r="196">
      <c r="A196" s="3" t="s">
        <v>896</v>
      </c>
      <c r="B196" s="3" t="s">
        <v>752</v>
      </c>
      <c r="C196" s="3" t="s">
        <v>897</v>
      </c>
      <c r="D196" s="8" t="s">
        <v>48</v>
      </c>
      <c r="E196" s="7">
        <v>45699.0</v>
      </c>
      <c r="F196" s="20">
        <v>2.163E8</v>
      </c>
      <c r="G196" s="20">
        <v>2.2E7</v>
      </c>
      <c r="H196" s="3">
        <v>1415.0</v>
      </c>
      <c r="I196" s="3" t="s">
        <v>1144</v>
      </c>
      <c r="J196" s="3">
        <v>2019.0</v>
      </c>
      <c r="K196" s="23" t="s">
        <v>1937</v>
      </c>
      <c r="N196" s="27">
        <f t="shared" si="1"/>
        <v>0.1017105871</v>
      </c>
      <c r="O196" s="28"/>
      <c r="P196" s="4">
        <v>0.0</v>
      </c>
      <c r="Q196" s="4">
        <v>1.0</v>
      </c>
      <c r="R196" s="4">
        <v>0.0</v>
      </c>
      <c r="S196" s="4">
        <v>1.0</v>
      </c>
      <c r="T196" s="4">
        <v>0.0</v>
      </c>
      <c r="U196" s="4" t="s">
        <v>558</v>
      </c>
    </row>
    <row r="197">
      <c r="A197" s="3" t="s">
        <v>1724</v>
      </c>
      <c r="B197" s="3" t="s">
        <v>76</v>
      </c>
      <c r="C197" s="3" t="s">
        <v>1725</v>
      </c>
      <c r="D197" s="8" t="s">
        <v>48</v>
      </c>
      <c r="E197" s="7">
        <v>45952.0</v>
      </c>
      <c r="F197" s="20">
        <v>2.25E7</v>
      </c>
      <c r="G197" s="20">
        <v>2.25E7</v>
      </c>
      <c r="H197" s="5">
        <v>78.0</v>
      </c>
      <c r="I197" s="3" t="s">
        <v>538</v>
      </c>
      <c r="J197" s="5">
        <v>2020.0</v>
      </c>
      <c r="K197" s="30" t="s">
        <v>1939</v>
      </c>
      <c r="N197" s="27">
        <f t="shared" si="1"/>
        <v>1</v>
      </c>
      <c r="O197" s="28"/>
      <c r="P197" s="4">
        <v>0.0</v>
      </c>
      <c r="Q197" s="4">
        <v>1.0</v>
      </c>
      <c r="R197" s="4">
        <v>0.0</v>
      </c>
      <c r="S197" s="4">
        <v>0.0</v>
      </c>
      <c r="T197" s="4">
        <v>1.0</v>
      </c>
      <c r="U197" s="4" t="s">
        <v>558</v>
      </c>
    </row>
    <row r="198">
      <c r="A198" s="3" t="s">
        <v>1728</v>
      </c>
      <c r="B198" s="3" t="s">
        <v>289</v>
      </c>
      <c r="C198" s="3" t="s">
        <v>1729</v>
      </c>
      <c r="D198" s="8" t="s">
        <v>48</v>
      </c>
      <c r="E198" s="7">
        <v>45490.0</v>
      </c>
      <c r="F198" s="20">
        <v>2.268E7</v>
      </c>
      <c r="G198" s="20">
        <v>2.268E7</v>
      </c>
      <c r="H198" s="5">
        <v>261.0</v>
      </c>
      <c r="I198" s="3" t="s">
        <v>905</v>
      </c>
      <c r="J198" s="5">
        <v>2014.0</v>
      </c>
      <c r="K198" s="29" t="s">
        <v>1940</v>
      </c>
      <c r="N198" s="27">
        <f t="shared" si="1"/>
        <v>1</v>
      </c>
      <c r="O198" s="28">
        <v>3.65E7</v>
      </c>
      <c r="P198" s="4">
        <v>0.0</v>
      </c>
      <c r="Q198" s="4">
        <v>3.0</v>
      </c>
      <c r="R198" s="4">
        <v>1.0</v>
      </c>
      <c r="S198" s="4">
        <v>2.0</v>
      </c>
      <c r="T198" s="4">
        <v>2.0</v>
      </c>
      <c r="U198" s="4" t="s">
        <v>558</v>
      </c>
    </row>
    <row r="199">
      <c r="A199" s="3" t="s">
        <v>901</v>
      </c>
      <c r="B199" s="3" t="s">
        <v>38</v>
      </c>
      <c r="C199" s="3" t="s">
        <v>902</v>
      </c>
      <c r="D199" s="8" t="s">
        <v>48</v>
      </c>
      <c r="E199" s="7">
        <v>45264.0</v>
      </c>
      <c r="F199" s="20">
        <v>2.67035624E8</v>
      </c>
      <c r="G199" s="20">
        <v>2.3E7</v>
      </c>
      <c r="H199" s="3">
        <v>707.0</v>
      </c>
      <c r="I199" s="3" t="s">
        <v>783</v>
      </c>
      <c r="J199" s="3">
        <v>2010.0</v>
      </c>
      <c r="K199" s="23" t="s">
        <v>1942</v>
      </c>
      <c r="N199" s="27">
        <f t="shared" si="1"/>
        <v>0.08613083024</v>
      </c>
      <c r="O199" s="28">
        <v>2.6E7</v>
      </c>
      <c r="P199" s="4">
        <v>0.0</v>
      </c>
      <c r="Q199" s="4">
        <v>0.0</v>
      </c>
      <c r="R199" s="4">
        <v>5.0</v>
      </c>
      <c r="S199" s="4">
        <v>1.0</v>
      </c>
      <c r="T199" s="4">
        <v>6.0</v>
      </c>
      <c r="U199" s="4" t="s">
        <v>595</v>
      </c>
    </row>
    <row r="200">
      <c r="A200" s="3" t="s">
        <v>1735</v>
      </c>
      <c r="B200" s="3" t="s">
        <v>76</v>
      </c>
      <c r="C200" s="3" t="s">
        <v>137</v>
      </c>
      <c r="D200" s="8" t="s">
        <v>48</v>
      </c>
      <c r="E200" s="7">
        <v>44328.0</v>
      </c>
      <c r="F200" s="20">
        <v>2.43E7</v>
      </c>
      <c r="G200" s="20">
        <v>2.43E7</v>
      </c>
      <c r="H200" s="5">
        <v>85.0</v>
      </c>
      <c r="I200" s="3" t="s">
        <v>538</v>
      </c>
      <c r="J200" s="5">
        <v>2018.0</v>
      </c>
      <c r="K200" s="29" t="s">
        <v>1943</v>
      </c>
      <c r="N200" s="27">
        <f t="shared" si="1"/>
        <v>1</v>
      </c>
      <c r="O200" s="28">
        <v>3000000.0</v>
      </c>
      <c r="P200" s="4">
        <v>1.0</v>
      </c>
      <c r="Q200" s="4">
        <v>0.0</v>
      </c>
      <c r="R200" s="4">
        <v>2.0</v>
      </c>
      <c r="S200" s="4">
        <v>0.0</v>
      </c>
      <c r="T200" s="4">
        <v>2.0</v>
      </c>
      <c r="U200" s="4" t="s">
        <v>558</v>
      </c>
    </row>
    <row r="201">
      <c r="A201" s="3" t="s">
        <v>918</v>
      </c>
      <c r="B201" s="3" t="s">
        <v>565</v>
      </c>
      <c r="C201" s="3" t="s">
        <v>920</v>
      </c>
      <c r="D201" s="8" t="s">
        <v>48</v>
      </c>
      <c r="E201" s="7">
        <v>45848.0</v>
      </c>
      <c r="F201" s="20">
        <v>8.45670734E8</v>
      </c>
      <c r="G201" s="20">
        <v>2.5E7</v>
      </c>
      <c r="H201" s="3">
        <v>1838.0</v>
      </c>
      <c r="I201" s="3" t="s">
        <v>783</v>
      </c>
      <c r="J201" s="3">
        <v>2016.0</v>
      </c>
      <c r="K201" s="23" t="s">
        <v>1945</v>
      </c>
      <c r="N201" s="27">
        <f t="shared" si="1"/>
        <v>0.02956233318</v>
      </c>
      <c r="O201" s="28">
        <v>1.52E8</v>
      </c>
      <c r="P201" s="4">
        <v>1.0</v>
      </c>
      <c r="Q201" s="4">
        <v>2.0</v>
      </c>
      <c r="R201" s="4">
        <v>7.0</v>
      </c>
      <c r="S201" s="4">
        <v>2.0</v>
      </c>
      <c r="T201" s="4">
        <v>4.0</v>
      </c>
      <c r="U201" s="4" t="s">
        <v>595</v>
      </c>
    </row>
    <row r="202">
      <c r="A202" s="3" t="s">
        <v>925</v>
      </c>
      <c r="B202" s="3" t="s">
        <v>76</v>
      </c>
      <c r="C202" s="3" t="s">
        <v>926</v>
      </c>
      <c r="D202" s="8" t="s">
        <v>48</v>
      </c>
      <c r="E202" s="7">
        <v>44497.0</v>
      </c>
      <c r="F202" s="20">
        <v>2.83E7</v>
      </c>
      <c r="G202" s="20">
        <v>2.5E7</v>
      </c>
      <c r="H202" s="3">
        <v>231.0</v>
      </c>
      <c r="I202" s="3" t="s">
        <v>514</v>
      </c>
      <c r="J202" s="3">
        <v>2018.0</v>
      </c>
      <c r="K202" s="23" t="s">
        <v>1406</v>
      </c>
      <c r="N202" s="27">
        <f t="shared" si="1"/>
        <v>0.8833922261</v>
      </c>
      <c r="O202" s="28"/>
      <c r="P202" s="4">
        <v>1.0</v>
      </c>
      <c r="Q202" s="4">
        <v>1.0</v>
      </c>
      <c r="R202" s="4">
        <v>1.0</v>
      </c>
      <c r="S202" s="4">
        <v>2.0</v>
      </c>
      <c r="T202" s="4">
        <v>4.0</v>
      </c>
      <c r="U202" s="4" t="s">
        <v>558</v>
      </c>
    </row>
    <row r="203">
      <c r="A203" s="3" t="s">
        <v>1741</v>
      </c>
      <c r="B203" s="3" t="s">
        <v>752</v>
      </c>
      <c r="C203" s="3" t="s">
        <v>1742</v>
      </c>
      <c r="D203" s="8" t="s">
        <v>48</v>
      </c>
      <c r="E203" s="7">
        <v>44329.0</v>
      </c>
      <c r="F203" s="20">
        <v>5.0138661E7</v>
      </c>
      <c r="G203" s="20">
        <v>2.6316E7</v>
      </c>
      <c r="H203" s="5">
        <v>746.0</v>
      </c>
      <c r="I203" s="3" t="s">
        <v>783</v>
      </c>
      <c r="J203" s="5">
        <v>2013.0</v>
      </c>
      <c r="K203" s="29" t="s">
        <v>1946</v>
      </c>
      <c r="N203" s="27">
        <f t="shared" si="1"/>
        <v>0.5248644355</v>
      </c>
      <c r="O203" s="28"/>
      <c r="P203" s="4">
        <v>0.0</v>
      </c>
      <c r="Q203" s="4">
        <v>0.0</v>
      </c>
      <c r="R203" s="4">
        <v>2.0</v>
      </c>
      <c r="S203" s="4">
        <v>1.0</v>
      </c>
      <c r="T203" s="4">
        <v>0.0</v>
      </c>
      <c r="U203" s="4" t="s">
        <v>558</v>
      </c>
    </row>
    <row r="204">
      <c r="A204" s="3" t="s">
        <v>935</v>
      </c>
      <c r="B204" s="3" t="s">
        <v>289</v>
      </c>
      <c r="C204" s="3" t="s">
        <v>936</v>
      </c>
      <c r="D204" s="8" t="s">
        <v>48</v>
      </c>
      <c r="E204" s="7">
        <v>45852.0</v>
      </c>
      <c r="F204" s="20">
        <v>5.1049995E7</v>
      </c>
      <c r="G204" s="20">
        <v>2.65E7</v>
      </c>
      <c r="H204" s="3">
        <v>220.0</v>
      </c>
      <c r="I204" s="3" t="s">
        <v>514</v>
      </c>
      <c r="J204" s="3">
        <v>2021.0</v>
      </c>
      <c r="K204" s="23" t="s">
        <v>1947</v>
      </c>
      <c r="N204" s="27">
        <f t="shared" si="1"/>
        <v>0.5190989735</v>
      </c>
      <c r="O204" s="28">
        <v>1500000.0</v>
      </c>
      <c r="P204" s="4">
        <v>1.0</v>
      </c>
      <c r="Q204" s="4">
        <v>1.0</v>
      </c>
      <c r="R204" s="4">
        <v>5.0</v>
      </c>
      <c r="S204" s="4">
        <v>3.0</v>
      </c>
      <c r="T204" s="4">
        <v>2.0</v>
      </c>
      <c r="U204" s="4" t="s">
        <v>595</v>
      </c>
    </row>
    <row r="205">
      <c r="A205" s="3" t="s">
        <v>942</v>
      </c>
      <c r="B205" s="3" t="s">
        <v>76</v>
      </c>
      <c r="C205" s="3" t="s">
        <v>943</v>
      </c>
      <c r="D205" s="8" t="s">
        <v>48</v>
      </c>
      <c r="E205" s="7">
        <v>45714.0</v>
      </c>
      <c r="F205" s="20">
        <v>2.67E7</v>
      </c>
      <c r="G205" s="20">
        <v>2.67E7</v>
      </c>
      <c r="H205" s="3">
        <v>253.0</v>
      </c>
      <c r="I205" s="3" t="s">
        <v>514</v>
      </c>
      <c r="J205" s="3">
        <v>2021.0</v>
      </c>
      <c r="K205" s="23" t="s">
        <v>1949</v>
      </c>
      <c r="N205" s="27">
        <f t="shared" si="1"/>
        <v>1</v>
      </c>
      <c r="O205" s="28"/>
      <c r="P205" s="4">
        <v>0.0</v>
      </c>
      <c r="Q205" s="4">
        <v>0.0</v>
      </c>
      <c r="R205" s="4">
        <v>0.0</v>
      </c>
      <c r="S205" s="4">
        <v>0.0</v>
      </c>
      <c r="T205" s="4">
        <v>3.0</v>
      </c>
      <c r="U205" s="4" t="s">
        <v>558</v>
      </c>
    </row>
    <row r="206">
      <c r="A206" s="3" t="s">
        <v>1746</v>
      </c>
      <c r="B206" s="3" t="s">
        <v>76</v>
      </c>
      <c r="C206" s="3" t="s">
        <v>1747</v>
      </c>
      <c r="D206" s="8" t="s">
        <v>48</v>
      </c>
      <c r="E206" s="7">
        <v>45939.0</v>
      </c>
      <c r="F206" s="20">
        <v>5.409E7</v>
      </c>
      <c r="G206" s="20">
        <v>2.88E7</v>
      </c>
      <c r="H206" s="5">
        <v>170.0</v>
      </c>
      <c r="I206" s="3" t="s">
        <v>514</v>
      </c>
      <c r="J206" s="5">
        <v>2021.0</v>
      </c>
      <c r="K206" s="29" t="s">
        <v>1951</v>
      </c>
      <c r="N206" s="27">
        <f t="shared" si="1"/>
        <v>0.5324459235</v>
      </c>
      <c r="O206" s="28">
        <v>2500000.0</v>
      </c>
      <c r="P206" s="4">
        <v>1.0</v>
      </c>
      <c r="Q206" s="4">
        <v>2.0</v>
      </c>
      <c r="R206" s="4">
        <v>5.0</v>
      </c>
      <c r="S206" s="4">
        <v>1.0</v>
      </c>
      <c r="T206" s="4">
        <v>3.0</v>
      </c>
      <c r="U206" s="4" t="s">
        <v>569</v>
      </c>
    </row>
    <row r="207">
      <c r="A207" s="3" t="s">
        <v>1751</v>
      </c>
      <c r="B207" s="3" t="s">
        <v>289</v>
      </c>
      <c r="C207" s="3" t="s">
        <v>1752</v>
      </c>
      <c r="D207" s="8" t="s">
        <v>48</v>
      </c>
      <c r="E207" s="7">
        <v>45252.0</v>
      </c>
      <c r="F207" s="20">
        <v>4.4510098E7</v>
      </c>
      <c r="G207" s="20">
        <v>2.97E7</v>
      </c>
      <c r="H207" s="5">
        <v>384.0</v>
      </c>
      <c r="I207" s="3" t="s">
        <v>905</v>
      </c>
      <c r="J207" s="5">
        <v>2016.0</v>
      </c>
      <c r="K207" s="29" t="s">
        <v>1952</v>
      </c>
      <c r="N207" s="27">
        <f t="shared" si="1"/>
        <v>0.6672643138</v>
      </c>
      <c r="O207" s="28">
        <v>7.0E7</v>
      </c>
      <c r="P207" s="4">
        <v>0.0</v>
      </c>
      <c r="Q207" s="4">
        <v>1.0</v>
      </c>
      <c r="R207" s="4">
        <v>6.0</v>
      </c>
      <c r="S207" s="4">
        <v>3.0</v>
      </c>
      <c r="T207" s="4">
        <v>6.0</v>
      </c>
      <c r="U207" s="4" t="s">
        <v>558</v>
      </c>
    </row>
    <row r="208">
      <c r="A208" s="3" t="s">
        <v>992</v>
      </c>
      <c r="B208" s="3" t="s">
        <v>289</v>
      </c>
      <c r="C208" s="3" t="s">
        <v>994</v>
      </c>
      <c r="D208" s="8" t="s">
        <v>48</v>
      </c>
      <c r="E208" s="7">
        <v>45931.0</v>
      </c>
      <c r="F208" s="20">
        <v>6.3748062E7</v>
      </c>
      <c r="G208" s="20">
        <v>3.0E7</v>
      </c>
      <c r="H208" s="3">
        <v>222.0</v>
      </c>
      <c r="I208" s="3" t="s">
        <v>514</v>
      </c>
      <c r="J208" s="3">
        <v>2022.0</v>
      </c>
      <c r="K208" s="23" t="s">
        <v>1954</v>
      </c>
      <c r="N208" s="27">
        <f t="shared" si="1"/>
        <v>0.4706025416</v>
      </c>
      <c r="O208" s="28">
        <v>5.15E7</v>
      </c>
      <c r="P208" s="4">
        <v>0.0</v>
      </c>
      <c r="Q208" s="4">
        <v>3.0</v>
      </c>
      <c r="R208" s="4">
        <v>5.0</v>
      </c>
      <c r="S208" s="4">
        <v>1.0</v>
      </c>
      <c r="T208" s="4">
        <v>2.0</v>
      </c>
      <c r="U208" s="4" t="s">
        <v>558</v>
      </c>
    </row>
    <row r="209">
      <c r="A209" s="3" t="s">
        <v>1004</v>
      </c>
      <c r="B209" s="3" t="s">
        <v>38</v>
      </c>
      <c r="C209" s="3" t="s">
        <v>1005</v>
      </c>
      <c r="D209" s="8" t="s">
        <v>52</v>
      </c>
      <c r="E209" s="7">
        <v>45931.0</v>
      </c>
      <c r="F209" s="20">
        <v>2.0682E8</v>
      </c>
      <c r="G209" s="20">
        <v>3.0E7</v>
      </c>
      <c r="H209" s="3">
        <v>16.0</v>
      </c>
      <c r="I209" s="3" t="s">
        <v>496</v>
      </c>
      <c r="J209" s="3">
        <v>2023.0</v>
      </c>
      <c r="K209" s="23" t="s">
        <v>1465</v>
      </c>
      <c r="N209" s="27">
        <f t="shared" si="1"/>
        <v>0.1450536699</v>
      </c>
      <c r="O209" s="28">
        <v>600000.0</v>
      </c>
      <c r="P209" s="4">
        <v>1.0</v>
      </c>
      <c r="Q209" s="4">
        <v>3.0</v>
      </c>
      <c r="R209" s="4">
        <v>1.0</v>
      </c>
      <c r="S209" s="4">
        <v>1.0</v>
      </c>
      <c r="T209" s="4">
        <v>0.0</v>
      </c>
      <c r="U209" s="4" t="s">
        <v>569</v>
      </c>
    </row>
    <row r="210">
      <c r="A210" s="23" t="s">
        <v>1432</v>
      </c>
      <c r="B210" s="3" t="s">
        <v>289</v>
      </c>
      <c r="C210" s="3" t="s">
        <v>1433</v>
      </c>
      <c r="D210" s="8" t="s">
        <v>52</v>
      </c>
      <c r="E210" s="7">
        <v>45805.0</v>
      </c>
      <c r="F210" s="20">
        <v>3.186E7</v>
      </c>
      <c r="G210" s="20">
        <v>3.024E7</v>
      </c>
      <c r="H210" s="5">
        <v>348.0</v>
      </c>
      <c r="I210" s="3" t="s">
        <v>905</v>
      </c>
      <c r="J210" s="5">
        <v>2019.0</v>
      </c>
      <c r="K210" s="29" t="s">
        <v>1901</v>
      </c>
      <c r="N210" s="27">
        <f t="shared" si="1"/>
        <v>0.9491525424</v>
      </c>
      <c r="O210" s="28">
        <v>3.8E7</v>
      </c>
      <c r="P210" s="4">
        <v>1.0</v>
      </c>
      <c r="Q210" s="4">
        <v>0.0</v>
      </c>
      <c r="R210" s="4">
        <v>6.0</v>
      </c>
      <c r="S210" s="4">
        <v>5.0</v>
      </c>
      <c r="T210" s="4">
        <v>0.0</v>
      </c>
      <c r="U210" s="4" t="s">
        <v>569</v>
      </c>
    </row>
    <row r="211">
      <c r="A211" s="3" t="s">
        <v>1014</v>
      </c>
      <c r="B211" s="3" t="s">
        <v>289</v>
      </c>
      <c r="C211" s="3" t="s">
        <v>541</v>
      </c>
      <c r="D211" s="8" t="s">
        <v>48</v>
      </c>
      <c r="E211" s="7">
        <v>45707.0</v>
      </c>
      <c r="F211" s="20">
        <v>4.876667E7</v>
      </c>
      <c r="G211" s="20">
        <v>3.05E7</v>
      </c>
      <c r="H211" s="3">
        <v>288.0</v>
      </c>
      <c r="I211" s="3" t="s">
        <v>783</v>
      </c>
      <c r="J211" s="3">
        <v>2020.0</v>
      </c>
      <c r="K211" s="23" t="s">
        <v>1471</v>
      </c>
      <c r="N211" s="27">
        <f t="shared" si="1"/>
        <v>0.6254271616</v>
      </c>
      <c r="O211" s="28"/>
      <c r="P211" s="4">
        <v>1.0</v>
      </c>
      <c r="Q211" s="4">
        <v>1.0</v>
      </c>
      <c r="R211" s="4">
        <v>7.0</v>
      </c>
      <c r="S211" s="4">
        <v>2.0</v>
      </c>
      <c r="T211" s="4">
        <v>2.0</v>
      </c>
      <c r="U211" s="4" t="s">
        <v>595</v>
      </c>
    </row>
    <row r="212">
      <c r="A212" s="3" t="s">
        <v>1038</v>
      </c>
      <c r="B212" s="3" t="s">
        <v>76</v>
      </c>
      <c r="C212" s="3" t="s">
        <v>1039</v>
      </c>
      <c r="D212" s="8" t="s">
        <v>48</v>
      </c>
      <c r="E212" s="7">
        <v>45923.0</v>
      </c>
      <c r="F212" s="20">
        <v>4.05E7</v>
      </c>
      <c r="G212" s="20">
        <v>3.5E7</v>
      </c>
      <c r="H212" s="3">
        <v>126.0</v>
      </c>
      <c r="I212" s="3" t="s">
        <v>514</v>
      </c>
      <c r="J212" s="3">
        <v>2023.0</v>
      </c>
      <c r="K212" s="23" t="s">
        <v>1490</v>
      </c>
      <c r="N212" s="27">
        <f t="shared" si="1"/>
        <v>0.8641975309</v>
      </c>
      <c r="O212" s="28"/>
      <c r="P212" s="4">
        <v>0.0</v>
      </c>
      <c r="Q212" s="4">
        <v>1.0</v>
      </c>
      <c r="R212" s="4">
        <v>0.0</v>
      </c>
      <c r="S212" s="4">
        <v>1.0</v>
      </c>
      <c r="T212" s="4">
        <v>0.0</v>
      </c>
      <c r="U212" s="4" t="s">
        <v>558</v>
      </c>
    </row>
    <row r="213">
      <c r="A213" s="3" t="s">
        <v>1763</v>
      </c>
      <c r="B213" s="3" t="s">
        <v>752</v>
      </c>
      <c r="C213" s="3" t="s">
        <v>1765</v>
      </c>
      <c r="D213" s="8" t="s">
        <v>48</v>
      </c>
      <c r="E213" s="7">
        <v>45916.0</v>
      </c>
      <c r="F213" s="20">
        <v>6.93E7</v>
      </c>
      <c r="G213" s="20">
        <v>3.6E7</v>
      </c>
      <c r="H213" s="5">
        <v>107.0</v>
      </c>
      <c r="I213" s="3" t="s">
        <v>514</v>
      </c>
      <c r="J213" s="5">
        <v>2023.0</v>
      </c>
      <c r="K213" s="29" t="s">
        <v>1959</v>
      </c>
      <c r="N213" s="27">
        <f t="shared" si="1"/>
        <v>0.5194805195</v>
      </c>
      <c r="O213" s="28"/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 t="s">
        <v>558</v>
      </c>
    </row>
    <row r="214">
      <c r="A214" s="3" t="s">
        <v>1070</v>
      </c>
      <c r="B214" s="3" t="s">
        <v>289</v>
      </c>
      <c r="C214" s="3" t="s">
        <v>1071</v>
      </c>
      <c r="D214" s="8" t="s">
        <v>48</v>
      </c>
      <c r="E214" s="7">
        <v>45762.0</v>
      </c>
      <c r="F214" s="20">
        <v>5.6613109E7</v>
      </c>
      <c r="G214" s="20">
        <v>4.0E7</v>
      </c>
      <c r="H214" s="3">
        <v>1034.0</v>
      </c>
      <c r="I214" s="3" t="s">
        <v>1144</v>
      </c>
      <c r="J214" s="3">
        <v>2018.0</v>
      </c>
      <c r="K214" s="23" t="s">
        <v>1522</v>
      </c>
      <c r="N214" s="27">
        <f t="shared" si="1"/>
        <v>0.7065501384</v>
      </c>
      <c r="O214" s="28">
        <v>1.37E8</v>
      </c>
      <c r="P214" s="4">
        <v>3.0</v>
      </c>
      <c r="Q214" s="4">
        <v>1.0</v>
      </c>
      <c r="R214" s="4">
        <v>3.0</v>
      </c>
      <c r="S214" s="4">
        <v>6.0</v>
      </c>
      <c r="T214" s="4">
        <v>3.0</v>
      </c>
      <c r="U214" s="4" t="s">
        <v>550</v>
      </c>
    </row>
    <row r="215">
      <c r="A215" s="3" t="s">
        <v>1091</v>
      </c>
      <c r="B215" s="3" t="s">
        <v>289</v>
      </c>
      <c r="C215" s="3" t="s">
        <v>1092</v>
      </c>
      <c r="D215" s="8" t="s">
        <v>48</v>
      </c>
      <c r="E215" s="7">
        <v>44662.0</v>
      </c>
      <c r="F215" s="20">
        <v>5.9956555E7</v>
      </c>
      <c r="G215" s="20">
        <v>4.5E7</v>
      </c>
      <c r="H215" s="3">
        <v>176.0</v>
      </c>
      <c r="I215" s="3" t="s">
        <v>538</v>
      </c>
      <c r="J215" s="3">
        <v>2018.0</v>
      </c>
      <c r="K215" s="23" t="s">
        <v>1962</v>
      </c>
      <c r="N215" s="27">
        <f t="shared" si="1"/>
        <v>0.750543456</v>
      </c>
      <c r="O215" s="28">
        <v>1.0E7</v>
      </c>
      <c r="P215" s="4">
        <v>1.0</v>
      </c>
      <c r="Q215" s="4">
        <v>1.0</v>
      </c>
      <c r="R215" s="4">
        <v>1.0</v>
      </c>
      <c r="S215" s="4">
        <v>3.0</v>
      </c>
      <c r="T215" s="4">
        <v>4.0</v>
      </c>
      <c r="U215" s="4" t="s">
        <v>558</v>
      </c>
    </row>
    <row r="216">
      <c r="A216" s="3" t="s">
        <v>1613</v>
      </c>
      <c r="B216" s="3" t="s">
        <v>38</v>
      </c>
      <c r="C216" s="3" t="s">
        <v>368</v>
      </c>
      <c r="D216" s="8" t="s">
        <v>48</v>
      </c>
      <c r="E216" s="7">
        <v>45523.0</v>
      </c>
      <c r="F216" s="20">
        <v>4.5E7</v>
      </c>
      <c r="G216" s="20">
        <v>4.5E7</v>
      </c>
      <c r="H216" s="5">
        <v>48.0</v>
      </c>
      <c r="I216" s="3" t="s">
        <v>496</v>
      </c>
      <c r="J216" s="5">
        <v>2021.0</v>
      </c>
      <c r="K216" s="29" t="s">
        <v>1956</v>
      </c>
      <c r="N216" s="27">
        <f t="shared" si="1"/>
        <v>1</v>
      </c>
      <c r="O216" s="28"/>
      <c r="P216" s="4">
        <v>0.0</v>
      </c>
      <c r="Q216" s="4">
        <v>0.0</v>
      </c>
      <c r="R216" s="4">
        <v>0.0</v>
      </c>
      <c r="S216" s="4">
        <v>1.0</v>
      </c>
      <c r="T216" s="4">
        <v>0.0</v>
      </c>
      <c r="U216" s="4" t="s">
        <v>550</v>
      </c>
    </row>
    <row r="217">
      <c r="A217" s="3" t="s">
        <v>1120</v>
      </c>
      <c r="B217" s="3" t="s">
        <v>38</v>
      </c>
      <c r="C217" s="3" t="s">
        <v>1121</v>
      </c>
      <c r="D217" s="8" t="s">
        <v>48</v>
      </c>
      <c r="E217" s="7">
        <v>43816.0</v>
      </c>
      <c r="F217" s="20">
        <v>8.267585E7</v>
      </c>
      <c r="G217" s="20">
        <v>5.4E7</v>
      </c>
      <c r="H217" s="3">
        <v>802.0</v>
      </c>
      <c r="I217" s="3" t="s">
        <v>1144</v>
      </c>
      <c r="J217" s="3">
        <v>2023.0</v>
      </c>
      <c r="K217" s="23" t="s">
        <v>1584</v>
      </c>
      <c r="N217" s="27">
        <f t="shared" si="1"/>
        <v>0.6531532485</v>
      </c>
      <c r="O217" s="28">
        <v>1.68898E8</v>
      </c>
      <c r="P217" s="4">
        <v>0.0</v>
      </c>
      <c r="Q217" s="4">
        <v>6.0</v>
      </c>
      <c r="R217" s="4">
        <v>9.0</v>
      </c>
      <c r="S217" s="4">
        <v>3.0</v>
      </c>
      <c r="T217" s="4">
        <v>8.0</v>
      </c>
      <c r="U217" s="4" t="s">
        <v>558</v>
      </c>
    </row>
    <row r="218">
      <c r="A218" s="3" t="s">
        <v>1801</v>
      </c>
      <c r="B218" s="3" t="s">
        <v>289</v>
      </c>
      <c r="C218" s="3" t="s">
        <v>1802</v>
      </c>
      <c r="D218" s="8" t="s">
        <v>48</v>
      </c>
      <c r="E218" s="7">
        <v>45160.0</v>
      </c>
      <c r="F218" s="20">
        <v>1.062E8</v>
      </c>
      <c r="G218" s="20">
        <v>5.4E7</v>
      </c>
      <c r="H218" s="5">
        <v>1069.0</v>
      </c>
      <c r="I218" s="3" t="s">
        <v>1144</v>
      </c>
      <c r="J218" s="5">
        <v>2019.0</v>
      </c>
      <c r="K218" s="29" t="s">
        <v>1964</v>
      </c>
      <c r="N218" s="27">
        <f t="shared" si="1"/>
        <v>0.5084745763</v>
      </c>
      <c r="O218" s="28">
        <v>1.2E8</v>
      </c>
      <c r="P218" s="4">
        <v>0.0</v>
      </c>
      <c r="Q218" s="4">
        <v>2.0</v>
      </c>
      <c r="R218" s="4">
        <v>5.0</v>
      </c>
      <c r="S218" s="4">
        <v>1.0</v>
      </c>
      <c r="T218" s="4">
        <v>1.0</v>
      </c>
      <c r="U218" s="4" t="s">
        <v>595</v>
      </c>
    </row>
    <row r="219">
      <c r="A219" s="3" t="s">
        <v>1806</v>
      </c>
      <c r="B219" s="3" t="s">
        <v>391</v>
      </c>
      <c r="C219" s="3" t="s">
        <v>1807</v>
      </c>
      <c r="D219" s="8" t="s">
        <v>48</v>
      </c>
      <c r="E219" s="7">
        <v>45730.0</v>
      </c>
      <c r="F219" s="20">
        <v>1.98811142E8</v>
      </c>
      <c r="G219" s="20">
        <v>5.4E7</v>
      </c>
      <c r="H219" s="5">
        <v>878.0</v>
      </c>
      <c r="I219" s="3" t="s">
        <v>783</v>
      </c>
      <c r="J219" s="5">
        <v>2007.0</v>
      </c>
      <c r="K219" s="15" t="s">
        <v>1966</v>
      </c>
      <c r="N219" s="27">
        <f t="shared" si="1"/>
        <v>0.2716145557</v>
      </c>
      <c r="O219" s="28">
        <v>6.0E7</v>
      </c>
      <c r="P219" s="4">
        <v>3.0</v>
      </c>
      <c r="Q219" s="4">
        <v>0.0</v>
      </c>
      <c r="R219" s="4">
        <v>1.0</v>
      </c>
      <c r="S219" s="4">
        <v>2.0</v>
      </c>
      <c r="T219" s="4">
        <v>3.0</v>
      </c>
      <c r="U219" s="4" t="s">
        <v>558</v>
      </c>
    </row>
    <row r="220">
      <c r="A220" s="3" t="s">
        <v>1810</v>
      </c>
      <c r="B220" s="3" t="s">
        <v>289</v>
      </c>
      <c r="C220" s="3" t="s">
        <v>1811</v>
      </c>
      <c r="D220" s="8" t="s">
        <v>48</v>
      </c>
      <c r="E220" s="7">
        <v>45079.0</v>
      </c>
      <c r="F220" s="20">
        <v>9.9278764E7</v>
      </c>
      <c r="G220" s="20">
        <v>5.4E7</v>
      </c>
      <c r="H220" s="5">
        <v>180.0</v>
      </c>
      <c r="I220" s="3" t="s">
        <v>514</v>
      </c>
      <c r="J220" s="5">
        <v>2017.0</v>
      </c>
      <c r="K220" s="15" t="s">
        <v>1968</v>
      </c>
      <c r="N220" s="27">
        <f t="shared" si="1"/>
        <v>0.5439229683</v>
      </c>
      <c r="O220" s="28">
        <v>1.86E7</v>
      </c>
      <c r="P220" s="4">
        <v>1.0</v>
      </c>
      <c r="Q220" s="4">
        <v>0.0</v>
      </c>
      <c r="R220" s="4">
        <v>2.0</v>
      </c>
      <c r="S220" s="4">
        <v>0.0</v>
      </c>
      <c r="T220" s="4">
        <v>3.0</v>
      </c>
      <c r="U220" s="4" t="s">
        <v>558</v>
      </c>
    </row>
    <row r="221">
      <c r="A221" s="3" t="s">
        <v>1127</v>
      </c>
      <c r="B221" s="3" t="s">
        <v>289</v>
      </c>
      <c r="C221" s="3" t="s">
        <v>1128</v>
      </c>
      <c r="D221" s="8" t="s">
        <v>48</v>
      </c>
      <c r="E221" s="7">
        <v>44678.0</v>
      </c>
      <c r="F221" s="20">
        <v>8.0358865E7</v>
      </c>
      <c r="G221" s="20">
        <v>5.5E7</v>
      </c>
      <c r="H221" s="3">
        <v>99.0</v>
      </c>
      <c r="I221" s="3" t="s">
        <v>514</v>
      </c>
      <c r="J221" s="3">
        <v>2021.0</v>
      </c>
      <c r="K221" s="23" t="s">
        <v>1594</v>
      </c>
      <c r="N221" s="27">
        <f t="shared" si="1"/>
        <v>0.6844297764</v>
      </c>
      <c r="O221" s="28"/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 t="s">
        <v>569</v>
      </c>
    </row>
    <row r="222">
      <c r="A222" s="3" t="s">
        <v>1133</v>
      </c>
      <c r="B222" s="3" t="s">
        <v>289</v>
      </c>
      <c r="C222" s="3" t="s">
        <v>1134</v>
      </c>
      <c r="D222" s="8" t="s">
        <v>48</v>
      </c>
      <c r="E222" s="7">
        <v>45503.0</v>
      </c>
      <c r="F222" s="20">
        <v>8.955E7</v>
      </c>
      <c r="G222" s="20">
        <v>5.5E7</v>
      </c>
      <c r="H222" s="3">
        <v>405.0</v>
      </c>
      <c r="I222" s="3" t="s">
        <v>905</v>
      </c>
      <c r="J222" s="3">
        <v>2019.0</v>
      </c>
      <c r="K222" s="23" t="s">
        <v>1600</v>
      </c>
      <c r="N222" s="27">
        <f t="shared" si="1"/>
        <v>0.6141820212</v>
      </c>
      <c r="O222" s="28">
        <v>2.0E8</v>
      </c>
      <c r="P222" s="4">
        <v>0.0</v>
      </c>
      <c r="Q222" s="4">
        <v>1.0</v>
      </c>
      <c r="R222" s="4">
        <v>1.0</v>
      </c>
      <c r="S222" s="4">
        <v>3.0</v>
      </c>
      <c r="T222" s="4">
        <v>4.0</v>
      </c>
      <c r="U222" s="4" t="s">
        <v>569</v>
      </c>
    </row>
    <row r="223">
      <c r="A223" s="3" t="s">
        <v>1157</v>
      </c>
      <c r="B223" s="3" t="s">
        <v>752</v>
      </c>
      <c r="C223" s="3" t="s">
        <v>1158</v>
      </c>
      <c r="D223" s="8" t="s">
        <v>48</v>
      </c>
      <c r="E223" s="7">
        <v>45615.0</v>
      </c>
      <c r="F223" s="20">
        <v>2.3E8</v>
      </c>
      <c r="G223" s="20">
        <v>6.0E7</v>
      </c>
      <c r="H223" s="3">
        <v>1442.0</v>
      </c>
      <c r="I223" s="3" t="s">
        <v>1144</v>
      </c>
      <c r="J223" s="3">
        <v>2023.0</v>
      </c>
      <c r="K223" s="23" t="s">
        <v>1621</v>
      </c>
      <c r="N223" s="27">
        <f t="shared" si="1"/>
        <v>0.2608695652</v>
      </c>
      <c r="O223" s="28">
        <v>1.336E8</v>
      </c>
      <c r="P223" s="4">
        <v>2.0</v>
      </c>
      <c r="Q223" s="4">
        <v>2.0</v>
      </c>
      <c r="R223" s="4">
        <v>7.0</v>
      </c>
      <c r="S223" s="4">
        <v>5.0</v>
      </c>
      <c r="T223" s="4">
        <v>7.0</v>
      </c>
      <c r="U223" s="4" t="s">
        <v>558</v>
      </c>
    </row>
    <row r="224">
      <c r="A224" s="3" t="s">
        <v>1162</v>
      </c>
      <c r="B224" s="3" t="s">
        <v>289</v>
      </c>
      <c r="C224" s="3" t="s">
        <v>1164</v>
      </c>
      <c r="D224" s="8" t="s">
        <v>48</v>
      </c>
      <c r="E224" s="7">
        <v>45869.0</v>
      </c>
      <c r="F224" s="20">
        <v>3.75E8</v>
      </c>
      <c r="G224" s="20">
        <v>6.3E7</v>
      </c>
      <c r="H224" s="3">
        <v>439.0</v>
      </c>
      <c r="I224" s="3" t="s">
        <v>905</v>
      </c>
      <c r="J224" s="3">
        <v>2018.0</v>
      </c>
      <c r="K224" s="23" t="s">
        <v>1630</v>
      </c>
      <c r="N224" s="27">
        <f t="shared" si="1"/>
        <v>0.168</v>
      </c>
      <c r="O224" s="28">
        <v>1.13E8</v>
      </c>
      <c r="P224" s="4">
        <v>0.0</v>
      </c>
      <c r="Q224" s="4">
        <v>2.0</v>
      </c>
      <c r="R224" s="4">
        <v>3.0</v>
      </c>
      <c r="S224" s="4">
        <v>1.0</v>
      </c>
      <c r="T224" s="4">
        <v>3.0</v>
      </c>
      <c r="U224" s="4" t="s">
        <v>569</v>
      </c>
    </row>
    <row r="225">
      <c r="A225" s="3" t="s">
        <v>1187</v>
      </c>
      <c r="B225" s="3" t="s">
        <v>565</v>
      </c>
      <c r="C225" s="3" t="s">
        <v>1188</v>
      </c>
      <c r="D225" s="8" t="s">
        <v>52</v>
      </c>
      <c r="E225" s="7">
        <v>45932.0</v>
      </c>
      <c r="F225" s="20">
        <v>3.52465392E8</v>
      </c>
      <c r="G225" s="20">
        <v>7.5E7</v>
      </c>
      <c r="H225" s="3">
        <v>828.0</v>
      </c>
      <c r="I225" s="3" t="s">
        <v>783</v>
      </c>
      <c r="J225" s="3">
        <v>2011.0</v>
      </c>
      <c r="K225" s="23" t="s">
        <v>1654</v>
      </c>
      <c r="N225" s="27">
        <f t="shared" si="1"/>
        <v>0.2127868486</v>
      </c>
      <c r="O225" s="28">
        <v>3.1E7</v>
      </c>
      <c r="P225" s="4">
        <v>1.0</v>
      </c>
      <c r="Q225" s="4">
        <v>4.0</v>
      </c>
      <c r="R225" s="4">
        <v>7.0</v>
      </c>
      <c r="S225" s="4">
        <v>2.0</v>
      </c>
      <c r="T225" s="4">
        <v>5.0</v>
      </c>
      <c r="U225" s="4" t="s">
        <v>558</v>
      </c>
    </row>
    <row r="226">
      <c r="A226" s="3" t="s">
        <v>1838</v>
      </c>
      <c r="B226" s="3" t="s">
        <v>565</v>
      </c>
      <c r="C226" s="3" t="s">
        <v>1839</v>
      </c>
      <c r="D226" s="8" t="s">
        <v>48</v>
      </c>
      <c r="E226" s="7">
        <v>44245.0</v>
      </c>
      <c r="F226" s="20">
        <v>1.30613111E8</v>
      </c>
      <c r="G226" s="20">
        <v>8.1E7</v>
      </c>
      <c r="H226" s="5">
        <v>805.0</v>
      </c>
      <c r="I226" s="3" t="s">
        <v>783</v>
      </c>
      <c r="J226" s="5">
        <v>2011.0</v>
      </c>
      <c r="K226" s="29" t="s">
        <v>1973</v>
      </c>
      <c r="N226" s="27">
        <f t="shared" si="1"/>
        <v>0.6201521377</v>
      </c>
      <c r="O226" s="28">
        <v>1.5E7</v>
      </c>
      <c r="P226" s="4">
        <v>0.0</v>
      </c>
      <c r="Q226" s="4">
        <v>1.0</v>
      </c>
      <c r="R226" s="4">
        <v>2.0</v>
      </c>
      <c r="S226" s="4">
        <v>3.0</v>
      </c>
      <c r="T226" s="4">
        <v>6.0</v>
      </c>
      <c r="U226" s="4" t="s">
        <v>569</v>
      </c>
    </row>
    <row r="227">
      <c r="A227" s="3" t="s">
        <v>1218</v>
      </c>
      <c r="B227" s="3" t="s">
        <v>38</v>
      </c>
      <c r="C227" s="3" t="s">
        <v>1219</v>
      </c>
      <c r="D227" s="8" t="s">
        <v>48</v>
      </c>
      <c r="E227" s="7">
        <v>45229.0</v>
      </c>
      <c r="F227" s="20">
        <v>1.28049406E8</v>
      </c>
      <c r="G227" s="20">
        <v>8.6100826E7</v>
      </c>
      <c r="H227" s="3">
        <v>721.0</v>
      </c>
      <c r="I227" s="3" t="s">
        <v>783</v>
      </c>
      <c r="J227" s="3">
        <v>2008.0</v>
      </c>
      <c r="K227" s="23" t="s">
        <v>1690</v>
      </c>
      <c r="N227" s="27">
        <f t="shared" si="1"/>
        <v>0.672403166</v>
      </c>
      <c r="O227" s="28">
        <v>1.478E8</v>
      </c>
      <c r="P227" s="4">
        <v>3.0</v>
      </c>
      <c r="Q227" s="4">
        <v>0.0</v>
      </c>
      <c r="R227" s="4">
        <v>3.0</v>
      </c>
      <c r="S227" s="4">
        <v>3.0</v>
      </c>
      <c r="T227" s="4">
        <v>2.0</v>
      </c>
      <c r="U227" s="4" t="s">
        <v>558</v>
      </c>
    </row>
    <row r="228">
      <c r="A228" s="3" t="s">
        <v>1853</v>
      </c>
      <c r="B228" s="3" t="s">
        <v>289</v>
      </c>
      <c r="C228" s="3" t="s">
        <v>1854</v>
      </c>
      <c r="D228" s="8" t="s">
        <v>48</v>
      </c>
      <c r="E228" s="7">
        <v>44592.0</v>
      </c>
      <c r="F228" s="20">
        <v>1.05035434E8</v>
      </c>
      <c r="G228" s="20">
        <v>9.0E7</v>
      </c>
      <c r="H228" s="5">
        <v>1193.0</v>
      </c>
      <c r="I228" s="3" t="s">
        <v>1144</v>
      </c>
      <c r="J228" s="5">
        <v>2015.0</v>
      </c>
      <c r="K228" s="29" t="s">
        <v>1978</v>
      </c>
      <c r="N228" s="27">
        <f t="shared" si="1"/>
        <v>0.8568536976</v>
      </c>
      <c r="O228" s="28">
        <v>6.8604E7</v>
      </c>
      <c r="P228" s="4">
        <v>1.0</v>
      </c>
      <c r="Q228" s="4">
        <v>1.0</v>
      </c>
      <c r="R228" s="4">
        <v>6.0</v>
      </c>
      <c r="S228" s="4">
        <v>3.0</v>
      </c>
      <c r="T228" s="4">
        <v>7.0</v>
      </c>
      <c r="U228" s="4" t="s">
        <v>558</v>
      </c>
    </row>
    <row r="229">
      <c r="A229" s="3" t="s">
        <v>751</v>
      </c>
      <c r="B229" s="3" t="s">
        <v>752</v>
      </c>
      <c r="C229" s="3" t="s">
        <v>754</v>
      </c>
      <c r="D229" s="8" t="s">
        <v>48</v>
      </c>
      <c r="E229" s="7">
        <v>44629.0</v>
      </c>
      <c r="F229" s="20">
        <v>1.3E8</v>
      </c>
      <c r="G229" s="20">
        <v>1.0E8</v>
      </c>
      <c r="H229" s="4">
        <v>1300.0</v>
      </c>
      <c r="I229" s="5" t="s">
        <v>1144</v>
      </c>
      <c r="J229" s="3">
        <v>2018.0</v>
      </c>
      <c r="K229" s="23" t="s">
        <v>1176</v>
      </c>
      <c r="N229" s="27">
        <f t="shared" si="1"/>
        <v>0.7692307692</v>
      </c>
      <c r="O229" s="28">
        <v>1.45E7</v>
      </c>
      <c r="P229" s="4">
        <v>2.0</v>
      </c>
      <c r="Q229" s="4">
        <v>2.0</v>
      </c>
      <c r="R229" s="4">
        <v>10.0</v>
      </c>
      <c r="S229" s="4">
        <v>5.0</v>
      </c>
      <c r="T229" s="4">
        <v>7.0</v>
      </c>
      <c r="U229" s="4" t="s">
        <v>558</v>
      </c>
    </row>
    <row r="230">
      <c r="A230" s="3" t="s">
        <v>764</v>
      </c>
      <c r="B230" s="3" t="s">
        <v>289</v>
      </c>
      <c r="C230" s="3" t="s">
        <v>765</v>
      </c>
      <c r="D230" s="8" t="s">
        <v>48</v>
      </c>
      <c r="E230" s="7">
        <v>44488.0</v>
      </c>
      <c r="F230" s="20">
        <v>1.18E8</v>
      </c>
      <c r="G230" s="20">
        <v>1.08E8</v>
      </c>
      <c r="H230" s="3">
        <v>567.0</v>
      </c>
      <c r="I230" s="3" t="s">
        <v>783</v>
      </c>
      <c r="J230" s="3">
        <v>2016.0</v>
      </c>
      <c r="K230" s="23" t="s">
        <v>1192</v>
      </c>
      <c r="N230" s="27">
        <f t="shared" si="1"/>
        <v>0.9152542373</v>
      </c>
      <c r="O230" s="28">
        <v>3.5E7</v>
      </c>
      <c r="P230" s="4">
        <v>1.0</v>
      </c>
      <c r="Q230" s="4">
        <v>8.0</v>
      </c>
      <c r="R230" s="4">
        <v>11.0</v>
      </c>
      <c r="S230" s="4">
        <v>0.0</v>
      </c>
      <c r="T230" s="4">
        <v>0.0</v>
      </c>
      <c r="U230" s="4" t="s">
        <v>558</v>
      </c>
    </row>
    <row r="231">
      <c r="A231" s="3" t="s">
        <v>768</v>
      </c>
      <c r="B231" s="3" t="s">
        <v>769</v>
      </c>
      <c r="C231" s="3" t="s">
        <v>770</v>
      </c>
      <c r="D231" s="8" t="s">
        <v>48</v>
      </c>
      <c r="E231" s="7">
        <v>45992.0</v>
      </c>
      <c r="F231" s="20">
        <v>1.22E9</v>
      </c>
      <c r="G231" s="20">
        <v>1.08E8</v>
      </c>
      <c r="H231" s="3">
        <v>2157.0</v>
      </c>
      <c r="I231" s="3" t="s">
        <v>1144</v>
      </c>
      <c r="J231" s="3">
        <v>2012.0</v>
      </c>
      <c r="K231" s="23" t="s">
        <v>1196</v>
      </c>
      <c r="N231" s="27">
        <f t="shared" si="1"/>
        <v>0.08852459016</v>
      </c>
      <c r="O231" s="28">
        <v>4.5E8</v>
      </c>
      <c r="P231" s="4">
        <v>1.0</v>
      </c>
      <c r="Q231" s="4">
        <v>5.0</v>
      </c>
      <c r="R231" s="4">
        <v>4.0</v>
      </c>
      <c r="S231" s="4">
        <v>6.0</v>
      </c>
      <c r="T231" s="4">
        <v>9.0</v>
      </c>
      <c r="U231" s="4" t="s">
        <v>569</v>
      </c>
    </row>
    <row r="232">
      <c r="A232" s="3" t="s">
        <v>816</v>
      </c>
      <c r="B232" s="3" t="s">
        <v>752</v>
      </c>
      <c r="C232" s="3" t="s">
        <v>472</v>
      </c>
      <c r="D232" s="8" t="s">
        <v>48</v>
      </c>
      <c r="E232" s="7">
        <v>45461.0</v>
      </c>
      <c r="F232" s="20">
        <v>1.56130284E8</v>
      </c>
      <c r="G232" s="20">
        <v>1.25E8</v>
      </c>
      <c r="H232" s="3">
        <v>409.0</v>
      </c>
      <c r="I232" s="3" t="s">
        <v>905</v>
      </c>
      <c r="J232" s="3">
        <v>2016.0</v>
      </c>
      <c r="K232" s="23" t="s">
        <v>1981</v>
      </c>
      <c r="N232" s="27">
        <f t="shared" si="1"/>
        <v>0.8006134159</v>
      </c>
      <c r="O232" s="28">
        <v>6.3E7</v>
      </c>
      <c r="P232" s="4">
        <v>0.0</v>
      </c>
      <c r="Q232" s="4">
        <v>5.0</v>
      </c>
      <c r="R232" s="4">
        <v>7.0</v>
      </c>
      <c r="S232" s="4">
        <v>4.0</v>
      </c>
      <c r="T232" s="4">
        <v>6.0</v>
      </c>
      <c r="U232" s="4" t="s">
        <v>558</v>
      </c>
    </row>
    <row r="233">
      <c r="A233" s="3" t="s">
        <v>851</v>
      </c>
      <c r="B233" s="3" t="s">
        <v>565</v>
      </c>
      <c r="C233" s="3" t="s">
        <v>852</v>
      </c>
      <c r="D233" s="8" t="s">
        <v>48</v>
      </c>
      <c r="E233" s="7">
        <v>44545.0</v>
      </c>
      <c r="F233" s="20">
        <v>3.22485E8</v>
      </c>
      <c r="G233" s="20">
        <v>1.86E8</v>
      </c>
      <c r="H233" s="3">
        <v>845.0</v>
      </c>
      <c r="I233" s="3" t="s">
        <v>783</v>
      </c>
      <c r="J233" s="3">
        <v>2015.0</v>
      </c>
      <c r="K233" s="23" t="s">
        <v>1983</v>
      </c>
      <c r="N233" s="27">
        <f t="shared" si="1"/>
        <v>0.5767710126</v>
      </c>
      <c r="O233" s="28">
        <v>1.8E7</v>
      </c>
      <c r="P233" s="4">
        <v>1.0</v>
      </c>
      <c r="Q233" s="4">
        <v>0.0</v>
      </c>
      <c r="R233" s="4">
        <v>2.0</v>
      </c>
      <c r="S233" s="4">
        <v>3.0</v>
      </c>
      <c r="T233" s="4">
        <v>4.0</v>
      </c>
      <c r="U233" s="4" t="s">
        <v>569</v>
      </c>
    </row>
    <row r="234">
      <c r="A234" s="3" t="s">
        <v>856</v>
      </c>
      <c r="B234" s="3" t="s">
        <v>565</v>
      </c>
      <c r="C234" s="3" t="s">
        <v>857</v>
      </c>
      <c r="D234" s="8" t="s">
        <v>48</v>
      </c>
      <c r="E234" s="7">
        <v>44203.0</v>
      </c>
      <c r="F234" s="20">
        <v>3.38820267E8</v>
      </c>
      <c r="G234" s="20">
        <v>1.9E8</v>
      </c>
      <c r="H234" s="3">
        <v>2162.0</v>
      </c>
      <c r="I234" s="3" t="s">
        <v>1144</v>
      </c>
      <c r="J234" s="3">
        <v>2009.0</v>
      </c>
      <c r="K234" s="23" t="s">
        <v>1984</v>
      </c>
      <c r="N234" s="27">
        <f t="shared" si="1"/>
        <v>0.5607692883</v>
      </c>
      <c r="O234" s="28">
        <v>1.875E8</v>
      </c>
      <c r="P234" s="4">
        <v>0.0</v>
      </c>
      <c r="Q234" s="4">
        <v>4.0</v>
      </c>
      <c r="R234" s="4">
        <v>14.0</v>
      </c>
      <c r="S234" s="4">
        <v>5.0</v>
      </c>
      <c r="T234" s="4">
        <v>6.0</v>
      </c>
      <c r="U234" s="4" t="s">
        <v>569</v>
      </c>
    </row>
    <row r="235">
      <c r="A235" s="3" t="s">
        <v>1595</v>
      </c>
      <c r="B235" s="3" t="s">
        <v>38</v>
      </c>
      <c r="C235" s="3" t="s">
        <v>1596</v>
      </c>
      <c r="D235" s="8" t="s">
        <v>48</v>
      </c>
      <c r="E235" s="7">
        <v>44517.0</v>
      </c>
      <c r="F235" s="20">
        <v>2.52E8</v>
      </c>
      <c r="G235" s="20">
        <v>2.52E8</v>
      </c>
      <c r="H235" s="4">
        <v>36.0</v>
      </c>
      <c r="I235" s="5" t="s">
        <v>496</v>
      </c>
      <c r="J235" s="5">
        <v>2015.0</v>
      </c>
      <c r="K235" s="15" t="s">
        <v>1985</v>
      </c>
      <c r="N235" s="27">
        <f t="shared" si="1"/>
        <v>1</v>
      </c>
      <c r="O235" s="28">
        <v>6300000.0</v>
      </c>
      <c r="P235" s="4">
        <v>0.0</v>
      </c>
      <c r="Q235" s="4">
        <v>1.0</v>
      </c>
      <c r="R235" s="4">
        <v>1.0</v>
      </c>
      <c r="S235" s="4">
        <v>0.0</v>
      </c>
      <c r="T235" s="4">
        <v>0.0</v>
      </c>
      <c r="U235" s="4" t="s">
        <v>569</v>
      </c>
    </row>
    <row r="236">
      <c r="A236" s="3" t="s">
        <v>1243</v>
      </c>
      <c r="B236" s="3" t="s">
        <v>38</v>
      </c>
      <c r="C236" s="3" t="s">
        <v>1246</v>
      </c>
      <c r="D236" s="8" t="s">
        <v>52</v>
      </c>
      <c r="E236" s="7">
        <v>45783.0</v>
      </c>
      <c r="F236" s="20">
        <v>6.30669891E8</v>
      </c>
      <c r="G236" s="20">
        <v>5.08E8</v>
      </c>
      <c r="H236" s="3">
        <v>791.0</v>
      </c>
      <c r="I236" s="3" t="s">
        <v>783</v>
      </c>
      <c r="J236" s="3">
        <v>2001.0</v>
      </c>
      <c r="K236" s="23" t="s">
        <v>1719</v>
      </c>
      <c r="N236" s="27">
        <f t="shared" si="1"/>
        <v>0.8054927106</v>
      </c>
      <c r="O236" s="28">
        <v>6.82E7</v>
      </c>
      <c r="P236" s="4">
        <v>1.0</v>
      </c>
      <c r="Q236" s="4">
        <v>7.0</v>
      </c>
      <c r="R236" s="4">
        <v>8.0</v>
      </c>
      <c r="S236" s="4">
        <v>1.0</v>
      </c>
      <c r="T236" s="4">
        <v>0.0</v>
      </c>
      <c r="U236" s="4" t="s">
        <v>558</v>
      </c>
    </row>
  </sheetData>
  <conditionalFormatting sqref="A235:K236">
    <cfRule type="expression" dxfId="0" priority="1">
      <formula>$L235="x"</formula>
    </cfRule>
  </conditionalFormatting>
  <conditionalFormatting sqref="A228:G234 H228:H233 I228:K234">
    <cfRule type="expression" dxfId="0" priority="2">
      <formula>$L228="x"</formula>
    </cfRule>
  </conditionalFormatting>
  <conditionalFormatting sqref="A227:K227">
    <cfRule type="expression" dxfId="0" priority="3">
      <formula>$L227="x"</formula>
    </cfRule>
  </conditionalFormatting>
  <conditionalFormatting sqref="A226:K226">
    <cfRule type="expression" dxfId="0" priority="4">
      <formula>$L226="x"</formula>
    </cfRule>
  </conditionalFormatting>
  <conditionalFormatting sqref="A217:K225">
    <cfRule type="expression" dxfId="0" priority="5">
      <formula>$L217="x"</formula>
    </cfRule>
  </conditionalFormatting>
  <conditionalFormatting sqref="A213:K216">
    <cfRule type="expression" dxfId="0" priority="6">
      <formula>$L213="x"</formula>
    </cfRule>
  </conditionalFormatting>
  <conditionalFormatting sqref="A212:K212">
    <cfRule type="expression" dxfId="0" priority="7">
      <formula>$L212="x"</formula>
    </cfRule>
  </conditionalFormatting>
  <conditionalFormatting sqref="A193:K211">
    <cfRule type="expression" dxfId="0" priority="8">
      <formula>$L193="x"</formula>
    </cfRule>
  </conditionalFormatting>
  <conditionalFormatting sqref="A191:K192">
    <cfRule type="expression" dxfId="0" priority="9">
      <formula>$L191="x"</formula>
    </cfRule>
  </conditionalFormatting>
  <conditionalFormatting sqref="A186:K190">
    <cfRule type="expression" dxfId="0" priority="10">
      <formula>$L186="x"</formula>
    </cfRule>
  </conditionalFormatting>
  <conditionalFormatting sqref="A181:K185">
    <cfRule type="expression" dxfId="0" priority="11">
      <formula>$L181="x"</formula>
    </cfRule>
  </conditionalFormatting>
  <conditionalFormatting sqref="A174:G180 I174:K180 H175:H180">
    <cfRule type="expression" dxfId="0" priority="12">
      <formula>$L174="x"</formula>
    </cfRule>
  </conditionalFormatting>
  <conditionalFormatting sqref="A173:K173">
    <cfRule type="expression" dxfId="0" priority="13">
      <formula>$L173="x"</formula>
    </cfRule>
  </conditionalFormatting>
  <conditionalFormatting sqref="A171:K172">
    <cfRule type="expression" dxfId="0" priority="14">
      <formula>$L171="x"</formula>
    </cfRule>
  </conditionalFormatting>
  <conditionalFormatting sqref="A169:G170 H169 I169:K170">
    <cfRule type="expression" dxfId="0" priority="15">
      <formula>$L169="x"</formula>
    </cfRule>
  </conditionalFormatting>
  <conditionalFormatting sqref="A166:K168">
    <cfRule type="expression" dxfId="0" priority="16">
      <formula>$L166="x"</formula>
    </cfRule>
  </conditionalFormatting>
  <conditionalFormatting sqref="A155:K165">
    <cfRule type="expression" dxfId="0" priority="17">
      <formula>$L155="x"</formula>
    </cfRule>
  </conditionalFormatting>
  <conditionalFormatting sqref="A151:K154">
    <cfRule type="expression" dxfId="0" priority="18">
      <formula>$L151="x"</formula>
    </cfRule>
  </conditionalFormatting>
  <conditionalFormatting sqref="A145:K150">
    <cfRule type="expression" dxfId="0" priority="19">
      <formula>$L145="x"</formula>
    </cfRule>
  </conditionalFormatting>
  <conditionalFormatting sqref="A139:G144 H139 I139:K144 H141:H144">
    <cfRule type="expression" dxfId="0" priority="20">
      <formula>$L139="x"</formula>
    </cfRule>
  </conditionalFormatting>
  <conditionalFormatting sqref="A138:K138">
    <cfRule type="expression" dxfId="0" priority="21">
      <formula>$L138="x"</formula>
    </cfRule>
  </conditionalFormatting>
  <conditionalFormatting sqref="A136:K137">
    <cfRule type="expression" dxfId="0" priority="22">
      <formula>$L136="x"</formula>
    </cfRule>
  </conditionalFormatting>
  <conditionalFormatting sqref="A135:K135">
    <cfRule type="expression" dxfId="0" priority="23">
      <formula>$L135="x"</formula>
    </cfRule>
  </conditionalFormatting>
  <conditionalFormatting sqref="A128:G134 H128:H131 I128:K134 H133:H134">
    <cfRule type="expression" dxfId="0" priority="24">
      <formula>$L128="x"</formula>
    </cfRule>
  </conditionalFormatting>
  <conditionalFormatting sqref="A125:K127">
    <cfRule type="expression" dxfId="0" priority="25">
      <formula>$L125="x"</formula>
    </cfRule>
  </conditionalFormatting>
  <conditionalFormatting sqref="A121:K124">
    <cfRule type="expression" dxfId="0" priority="26">
      <formula>$L121="x"</formula>
    </cfRule>
  </conditionalFormatting>
  <conditionalFormatting sqref="A118:K120">
    <cfRule type="expression" dxfId="0" priority="27">
      <formula>$L118="x"</formula>
    </cfRule>
  </conditionalFormatting>
  <conditionalFormatting sqref="A117:K117">
    <cfRule type="expression" dxfId="0" priority="28">
      <formula>$L117="x"</formula>
    </cfRule>
  </conditionalFormatting>
  <conditionalFormatting sqref="A114:K116">
    <cfRule type="expression" dxfId="0" priority="29">
      <formula>$L114="x"</formula>
    </cfRule>
  </conditionalFormatting>
  <conditionalFormatting sqref="A113:K113">
    <cfRule type="expression" dxfId="0" priority="30">
      <formula>$L113="x"</formula>
    </cfRule>
  </conditionalFormatting>
  <conditionalFormatting sqref="A110:G112 H110:H111 I110:K112">
    <cfRule type="expression" dxfId="0" priority="31">
      <formula>$L110="x"</formula>
    </cfRule>
  </conditionalFormatting>
  <conditionalFormatting sqref="A106:K109">
    <cfRule type="expression" dxfId="0" priority="32">
      <formula>$L106="x"</formula>
    </cfRule>
  </conditionalFormatting>
  <conditionalFormatting sqref="A104:K105">
    <cfRule type="expression" dxfId="0" priority="33">
      <formula>$L104="x"</formula>
    </cfRule>
  </conditionalFormatting>
  <conditionalFormatting sqref="A98:K103">
    <cfRule type="expression" dxfId="0" priority="34">
      <formula>$L98="x"</formula>
    </cfRule>
  </conditionalFormatting>
  <conditionalFormatting sqref="A96:K97">
    <cfRule type="expression" dxfId="0" priority="35">
      <formula>$L96="x"</formula>
    </cfRule>
  </conditionalFormatting>
  <conditionalFormatting sqref="A95:K95">
    <cfRule type="expression" dxfId="0" priority="36">
      <formula>$L95="x"</formula>
    </cfRule>
  </conditionalFormatting>
  <conditionalFormatting sqref="A93:K94">
    <cfRule type="expression" dxfId="0" priority="37">
      <formula>$L93="x"</formula>
    </cfRule>
  </conditionalFormatting>
  <conditionalFormatting sqref="A90:K92">
    <cfRule type="expression" dxfId="0" priority="38">
      <formula>$L90="x"</formula>
    </cfRule>
  </conditionalFormatting>
  <conditionalFormatting sqref="A88:K89">
    <cfRule type="expression" dxfId="0" priority="39">
      <formula>$L88="x"</formula>
    </cfRule>
  </conditionalFormatting>
  <conditionalFormatting sqref="A87:K87">
    <cfRule type="expression" dxfId="0" priority="40">
      <formula>$L87="x"</formula>
    </cfRule>
  </conditionalFormatting>
  <conditionalFormatting sqref="A86:K86">
    <cfRule type="expression" dxfId="0" priority="41">
      <formula>$L86="x"</formula>
    </cfRule>
  </conditionalFormatting>
  <conditionalFormatting sqref="A84:K85">
    <cfRule type="expression" dxfId="0" priority="42">
      <formula>$L84="x"</formula>
    </cfRule>
  </conditionalFormatting>
  <conditionalFormatting sqref="A64:G83 H64:H68 I64:K83 H70:H83">
    <cfRule type="expression" dxfId="0" priority="43">
      <formula>$L64="x"</formula>
    </cfRule>
  </conditionalFormatting>
  <conditionalFormatting sqref="A63:K63">
    <cfRule type="expression" dxfId="0" priority="44">
      <formula>$L63="x"</formula>
    </cfRule>
  </conditionalFormatting>
  <conditionalFormatting sqref="A59:G62 H59 I59:K62 H61:H62">
    <cfRule type="expression" dxfId="0" priority="45">
      <formula>$L59="x"</formula>
    </cfRule>
  </conditionalFormatting>
  <conditionalFormatting sqref="A50:G58 H50:H51 I50:K58 H53:H58">
    <cfRule type="expression" dxfId="0" priority="46">
      <formula>$L50="x"</formula>
    </cfRule>
  </conditionalFormatting>
  <conditionalFormatting sqref="A43:G49 H43:H48 I43:K49">
    <cfRule type="expression" dxfId="0" priority="47">
      <formula>$L43="x"</formula>
    </cfRule>
  </conditionalFormatting>
  <conditionalFormatting sqref="A40:G42 I40:K42 H41">
    <cfRule type="expression" dxfId="0" priority="48">
      <formula>$L40="x"</formula>
    </cfRule>
  </conditionalFormatting>
  <conditionalFormatting sqref="A34:G39 H34:H37 I34:K39">
    <cfRule type="expression" dxfId="0" priority="49">
      <formula>$L34="x"</formula>
    </cfRule>
  </conditionalFormatting>
  <conditionalFormatting sqref="A29:K33">
    <cfRule type="expression" dxfId="0" priority="50">
      <formula>$L29="x"</formula>
    </cfRule>
  </conditionalFormatting>
  <conditionalFormatting sqref="A28:K28">
    <cfRule type="expression" dxfId="0" priority="51">
      <formula>$L28="x"</formula>
    </cfRule>
  </conditionalFormatting>
  <conditionalFormatting sqref="A26:K27">
    <cfRule type="expression" dxfId="0" priority="52">
      <formula>$L26="x"</formula>
    </cfRule>
  </conditionalFormatting>
  <conditionalFormatting sqref="A24:K25">
    <cfRule type="expression" dxfId="0" priority="53">
      <formula>$L24="x"</formula>
    </cfRule>
  </conditionalFormatting>
  <conditionalFormatting sqref="A22:G23 H22 I22:K23">
    <cfRule type="expression" dxfId="0" priority="54">
      <formula>$L22="x"</formula>
    </cfRule>
  </conditionalFormatting>
  <conditionalFormatting sqref="A19:K21">
    <cfRule type="expression" dxfId="0" priority="55">
      <formula>$L19="x"</formula>
    </cfRule>
  </conditionalFormatting>
  <conditionalFormatting sqref="A16:G18 I16:K18">
    <cfRule type="expression" dxfId="0" priority="56">
      <formula>$L16="x"</formula>
    </cfRule>
  </conditionalFormatting>
  <conditionalFormatting sqref="A12:G15 H12:H14 I12:K15">
    <cfRule type="expression" dxfId="0" priority="57">
      <formula>$L12="x"</formula>
    </cfRule>
  </conditionalFormatting>
  <conditionalFormatting sqref="A10:K11">
    <cfRule type="expression" dxfId="0" priority="58">
      <formula>$L10="x"</formula>
    </cfRule>
  </conditionalFormatting>
  <conditionalFormatting sqref="A8:K9">
    <cfRule type="expression" dxfId="0" priority="59">
      <formula>$L8="x"</formula>
    </cfRule>
  </conditionalFormatting>
  <conditionalFormatting sqref="A5:G7 I5:K7 H7">
    <cfRule type="expression" dxfId="0" priority="60">
      <formula>$L5="x"</formula>
    </cfRule>
  </conditionalFormatting>
  <conditionalFormatting sqref="A3:K4">
    <cfRule type="expression" dxfId="0" priority="61">
      <formula>$L3="x"</formula>
    </cfRule>
  </conditionalFormatting>
  <conditionalFormatting sqref="A2:K2">
    <cfRule type="expression" dxfId="0" priority="62">
      <formula>$L2="x"</formula>
    </cfRule>
  </conditionalFormatting>
  <dataValidations>
    <dataValidation type="list" allowBlank="1" showErrorMessage="1" sqref="I2:I236">
      <formula1>"2 - 10,11 - 50,51 - 100,101 - 250,251 - 500,501 - 1000,1000 - 5000,5000 - 1000,10000 - +"</formula1>
    </dataValidation>
  </dataValidations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A24"/>
    <hyperlink r:id="rId24" ref="K24"/>
    <hyperlink r:id="rId25" ref="K25"/>
    <hyperlink r:id="rId26" ref="K26"/>
    <hyperlink r:id="rId27" ref="K27"/>
    <hyperlink r:id="rId28" ref="K28"/>
    <hyperlink r:id="rId29" ref="K29"/>
    <hyperlink r:id="rId30" ref="K30"/>
    <hyperlink r:id="rId31" ref="K31"/>
    <hyperlink r:id="rId32" ref="K32"/>
    <hyperlink r:id="rId33" ref="K33"/>
    <hyperlink r:id="rId34" ref="K34"/>
    <hyperlink r:id="rId35" ref="K35"/>
    <hyperlink r:id="rId36" ref="K36"/>
    <hyperlink r:id="rId37" ref="K37"/>
    <hyperlink r:id="rId38" ref="K38"/>
    <hyperlink r:id="rId39" ref="K39"/>
    <hyperlink r:id="rId40" ref="K40"/>
    <hyperlink r:id="rId41" ref="K41"/>
    <hyperlink r:id="rId42" ref="K42"/>
    <hyperlink r:id="rId43" ref="K43"/>
    <hyperlink r:id="rId44" ref="K44"/>
    <hyperlink r:id="rId45" ref="K45"/>
    <hyperlink r:id="rId46" ref="K46"/>
    <hyperlink r:id="rId47" ref="K47"/>
    <hyperlink r:id="rId48" ref="K48"/>
    <hyperlink r:id="rId49" ref="K49"/>
    <hyperlink r:id="rId50" ref="K50"/>
    <hyperlink r:id="rId51" ref="K51"/>
    <hyperlink r:id="rId52" ref="K52"/>
    <hyperlink r:id="rId53" ref="K53"/>
    <hyperlink r:id="rId54" ref="K54"/>
    <hyperlink r:id="rId55" ref="K55"/>
    <hyperlink r:id="rId56" ref="K56"/>
    <hyperlink r:id="rId57" ref="K57"/>
    <hyperlink r:id="rId58" ref="K58"/>
    <hyperlink r:id="rId59" ref="K59"/>
    <hyperlink r:id="rId60" ref="K60"/>
    <hyperlink r:id="rId61" ref="K61"/>
    <hyperlink r:id="rId62" ref="K62"/>
    <hyperlink r:id="rId63" ref="K63"/>
    <hyperlink r:id="rId64" ref="K64"/>
    <hyperlink r:id="rId65" ref="K65"/>
    <hyperlink r:id="rId66" ref="K66"/>
    <hyperlink r:id="rId67" ref="K67"/>
    <hyperlink r:id="rId68" ref="K68"/>
    <hyperlink r:id="rId69" ref="A69"/>
    <hyperlink r:id="rId70" ref="K69"/>
    <hyperlink r:id="rId71" ref="K70"/>
    <hyperlink r:id="rId72" ref="K71"/>
    <hyperlink r:id="rId73" ref="K72"/>
    <hyperlink r:id="rId74" ref="K73"/>
    <hyperlink r:id="rId75" ref="K74"/>
    <hyperlink r:id="rId76" ref="K75"/>
    <hyperlink r:id="rId77" ref="A76"/>
    <hyperlink r:id="rId78" ref="K76"/>
    <hyperlink r:id="rId79" ref="K77"/>
    <hyperlink r:id="rId80" ref="K78"/>
    <hyperlink r:id="rId81" ref="K79"/>
    <hyperlink r:id="rId82" ref="K80"/>
    <hyperlink r:id="rId83" ref="K81"/>
    <hyperlink r:id="rId84" ref="K82"/>
    <hyperlink r:id="rId85" ref="K83"/>
    <hyperlink r:id="rId86" ref="K84"/>
    <hyperlink r:id="rId87" ref="K85"/>
    <hyperlink r:id="rId88" ref="K86"/>
    <hyperlink r:id="rId89" ref="A87"/>
    <hyperlink r:id="rId90" ref="K87"/>
    <hyperlink r:id="rId91" ref="K88"/>
    <hyperlink r:id="rId92" ref="K89"/>
    <hyperlink r:id="rId93" ref="K90"/>
    <hyperlink r:id="rId94" ref="K91"/>
    <hyperlink r:id="rId95" ref="K92"/>
    <hyperlink r:id="rId96" ref="K93"/>
    <hyperlink r:id="rId97" ref="K94"/>
    <hyperlink r:id="rId98" ref="K95"/>
    <hyperlink r:id="rId99" ref="K96"/>
    <hyperlink r:id="rId100" ref="J97"/>
    <hyperlink r:id="rId101" ref="K97"/>
    <hyperlink r:id="rId102" ref="K98"/>
    <hyperlink r:id="rId103" ref="K99"/>
    <hyperlink r:id="rId104" ref="K100"/>
    <hyperlink r:id="rId105" ref="K101"/>
    <hyperlink r:id="rId106" ref="K102"/>
    <hyperlink r:id="rId107" ref="K103"/>
    <hyperlink r:id="rId108" ref="K104"/>
    <hyperlink r:id="rId109" ref="K105"/>
    <hyperlink r:id="rId110" ref="K106"/>
    <hyperlink r:id="rId111" ref="K107"/>
    <hyperlink r:id="rId112" ref="K108"/>
    <hyperlink r:id="rId113" ref="K109"/>
    <hyperlink r:id="rId114" ref="A110"/>
    <hyperlink r:id="rId115" ref="K110"/>
    <hyperlink r:id="rId116" ref="K111"/>
    <hyperlink r:id="rId117" ref="K112"/>
    <hyperlink r:id="rId118" ref="K113"/>
    <hyperlink r:id="rId119" ref="K114"/>
    <hyperlink r:id="rId120" ref="K115"/>
    <hyperlink r:id="rId121" ref="K116"/>
    <hyperlink r:id="rId122" ref="K117"/>
    <hyperlink r:id="rId123" ref="K118"/>
    <hyperlink r:id="rId124" ref="K119"/>
    <hyperlink r:id="rId125" ref="K120"/>
    <hyperlink r:id="rId126" ref="K121"/>
    <hyperlink r:id="rId127" ref="K122"/>
    <hyperlink r:id="rId128" ref="A123"/>
    <hyperlink r:id="rId129" ref="K123"/>
    <hyperlink r:id="rId130" ref="K124"/>
    <hyperlink r:id="rId131" ref="K125"/>
    <hyperlink r:id="rId132" ref="K126"/>
    <hyperlink r:id="rId133" ref="K127"/>
    <hyperlink r:id="rId134" ref="K128"/>
    <hyperlink r:id="rId135" ref="K129"/>
    <hyperlink r:id="rId136" ref="K130"/>
    <hyperlink r:id="rId137" ref="K131"/>
    <hyperlink r:id="rId138" ref="K132"/>
    <hyperlink r:id="rId139" ref="K133"/>
    <hyperlink r:id="rId140" ref="K134"/>
    <hyperlink r:id="rId141" ref="K135"/>
    <hyperlink r:id="rId142" ref="K136"/>
    <hyperlink r:id="rId143" ref="K137"/>
    <hyperlink r:id="rId144" ref="K138"/>
    <hyperlink r:id="rId145" ref="K139"/>
    <hyperlink r:id="rId146" ref="K140"/>
    <hyperlink r:id="rId147" ref="K141"/>
    <hyperlink r:id="rId148" ref="K142"/>
    <hyperlink r:id="rId149" ref="K143"/>
    <hyperlink r:id="rId150" ref="K144"/>
    <hyperlink r:id="rId151" ref="K145"/>
    <hyperlink r:id="rId152" ref="K146"/>
    <hyperlink r:id="rId153" ref="K147"/>
    <hyperlink r:id="rId154" ref="K148"/>
    <hyperlink r:id="rId155" ref="K149"/>
    <hyperlink r:id="rId156" ref="K150"/>
    <hyperlink r:id="rId157" ref="K151"/>
    <hyperlink r:id="rId158" ref="K152"/>
    <hyperlink r:id="rId159" ref="K153"/>
    <hyperlink r:id="rId160" ref="K154"/>
    <hyperlink r:id="rId161" ref="K155"/>
    <hyperlink r:id="rId162" ref="K156"/>
    <hyperlink r:id="rId163" ref="K157"/>
    <hyperlink r:id="rId164" ref="K158"/>
    <hyperlink r:id="rId165" ref="K159"/>
    <hyperlink r:id="rId166" ref="K160"/>
    <hyperlink r:id="rId167" ref="K161"/>
    <hyperlink r:id="rId168" ref="K162"/>
    <hyperlink r:id="rId169" ref="K163"/>
    <hyperlink r:id="rId170" ref="K164"/>
    <hyperlink r:id="rId171" ref="K165"/>
    <hyperlink r:id="rId172" ref="K166"/>
    <hyperlink r:id="rId173" ref="K167"/>
    <hyperlink r:id="rId174" ref="K168"/>
    <hyperlink r:id="rId175" ref="K169"/>
    <hyperlink r:id="rId176" ref="K170"/>
    <hyperlink r:id="rId177" ref="K171"/>
    <hyperlink r:id="rId178" ref="K172"/>
    <hyperlink r:id="rId179" ref="K173"/>
    <hyperlink r:id="rId180" ref="K174"/>
    <hyperlink r:id="rId181" ref="K175"/>
    <hyperlink r:id="rId182" ref="K176"/>
    <hyperlink r:id="rId183" ref="K177"/>
    <hyperlink r:id="rId184" ref="K178"/>
    <hyperlink r:id="rId185" ref="K179"/>
    <hyperlink r:id="rId186" ref="K180"/>
    <hyperlink r:id="rId187" ref="K181"/>
    <hyperlink r:id="rId188" ref="K182"/>
    <hyperlink r:id="rId189" ref="K183"/>
    <hyperlink r:id="rId190" ref="K184"/>
    <hyperlink r:id="rId191" ref="K185"/>
    <hyperlink r:id="rId192" ref="K186"/>
    <hyperlink r:id="rId193" ref="K187"/>
    <hyperlink r:id="rId194" ref="K188"/>
    <hyperlink r:id="rId195" ref="K189"/>
    <hyperlink r:id="rId196" ref="K190"/>
    <hyperlink r:id="rId197" ref="K191"/>
    <hyperlink r:id="rId198" ref="K192"/>
    <hyperlink r:id="rId199" ref="K193"/>
    <hyperlink r:id="rId200" ref="K194"/>
    <hyperlink r:id="rId201" ref="K195"/>
    <hyperlink r:id="rId202" ref="K196"/>
    <hyperlink r:id="rId203" ref="K197"/>
    <hyperlink r:id="rId204" ref="K198"/>
    <hyperlink r:id="rId205" ref="K199"/>
    <hyperlink r:id="rId206" ref="K200"/>
    <hyperlink r:id="rId207" ref="K201"/>
    <hyperlink r:id="rId208" ref="K202"/>
    <hyperlink r:id="rId209" ref="K203"/>
    <hyperlink r:id="rId210" ref="K204"/>
    <hyperlink r:id="rId211" ref="K205"/>
    <hyperlink r:id="rId212" ref="K206"/>
    <hyperlink r:id="rId213" ref="K207"/>
    <hyperlink r:id="rId214" ref="K208"/>
    <hyperlink r:id="rId215" ref="K209"/>
    <hyperlink r:id="rId216" ref="A210"/>
    <hyperlink r:id="rId217" ref="K210"/>
    <hyperlink r:id="rId218" ref="K211"/>
    <hyperlink r:id="rId219" ref="K212"/>
    <hyperlink r:id="rId220" ref="K213"/>
    <hyperlink r:id="rId221" ref="K214"/>
    <hyperlink r:id="rId222" ref="K215"/>
    <hyperlink r:id="rId223" ref="K216"/>
    <hyperlink r:id="rId224" ref="K217"/>
    <hyperlink r:id="rId225" ref="K218"/>
    <hyperlink r:id="rId226" ref="K219"/>
    <hyperlink r:id="rId227" ref="K220"/>
    <hyperlink r:id="rId228" ref="K221"/>
    <hyperlink r:id="rId229" ref="K222"/>
    <hyperlink r:id="rId230" ref="K223"/>
    <hyperlink r:id="rId231" ref="K224"/>
    <hyperlink r:id="rId232" ref="K225"/>
    <hyperlink r:id="rId233" ref="K226"/>
    <hyperlink r:id="rId234" ref="K227"/>
    <hyperlink r:id="rId235" ref="K228"/>
    <hyperlink r:id="rId236" ref="K229"/>
    <hyperlink r:id="rId237" ref="K230"/>
    <hyperlink r:id="rId238" ref="K231"/>
    <hyperlink r:id="rId239" ref="K232"/>
    <hyperlink r:id="rId240" ref="K233"/>
    <hyperlink r:id="rId241" ref="K234"/>
    <hyperlink r:id="rId242" ref="K235"/>
    <hyperlink r:id="rId243" ref="K236"/>
  </hyperlinks>
  <drawing r:id="rId24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0.63"/>
  </cols>
  <sheetData>
    <row r="1">
      <c r="A1" s="31" t="s">
        <v>0</v>
      </c>
      <c r="B1" s="31" t="s">
        <v>2</v>
      </c>
      <c r="C1" s="32" t="s">
        <v>484</v>
      </c>
      <c r="D1" s="31" t="s">
        <v>483</v>
      </c>
      <c r="E1" s="32" t="s">
        <v>1497</v>
      </c>
      <c r="F1" s="32" t="s">
        <v>1498</v>
      </c>
      <c r="G1" s="32" t="s">
        <v>1499</v>
      </c>
      <c r="H1" s="31" t="s">
        <v>1500</v>
      </c>
      <c r="I1" s="32" t="s">
        <v>1502</v>
      </c>
      <c r="J1" s="33" t="s">
        <v>1503</v>
      </c>
      <c r="K1" s="34" t="s">
        <v>31</v>
      </c>
      <c r="L1" s="35" t="s">
        <v>22</v>
      </c>
      <c r="M1" s="31" t="s">
        <v>1505</v>
      </c>
      <c r="N1" s="31" t="s">
        <v>1507</v>
      </c>
      <c r="O1" s="31" t="s">
        <v>1509</v>
      </c>
      <c r="P1" s="31" t="s">
        <v>1510</v>
      </c>
      <c r="Q1" s="32" t="s">
        <v>1511</v>
      </c>
      <c r="R1" s="32" t="s">
        <v>521</v>
      </c>
      <c r="S1" s="32" t="s">
        <v>522</v>
      </c>
      <c r="T1" s="32" t="s">
        <v>523</v>
      </c>
      <c r="U1" s="32" t="s">
        <v>524</v>
      </c>
      <c r="V1" s="32" t="s">
        <v>525</v>
      </c>
      <c r="W1" s="32" t="s">
        <v>1512</v>
      </c>
    </row>
    <row r="2">
      <c r="A2" s="25" t="s">
        <v>465</v>
      </c>
      <c r="B2" s="25" t="s">
        <v>52</v>
      </c>
      <c r="C2" s="36" t="s">
        <v>1515</v>
      </c>
      <c r="D2" s="37">
        <v>2014.0</v>
      </c>
      <c r="E2" s="38" t="s">
        <v>466</v>
      </c>
      <c r="F2" s="38" t="s">
        <v>59</v>
      </c>
      <c r="G2" s="39" t="str">
        <f>VLOOKUP(A2,'Dataset '!A:I,9,0)</f>
        <v>2 - 10</v>
      </c>
      <c r="H2" s="37">
        <v>4.0</v>
      </c>
      <c r="I2" s="37">
        <v>11.0</v>
      </c>
      <c r="J2" s="38">
        <v>324000.0</v>
      </c>
      <c r="K2" s="38">
        <v>324000.0</v>
      </c>
      <c r="L2" s="40">
        <f>VLOOKUP($A2,'Dataset '!$A:$I,5,0)</f>
        <v>41820</v>
      </c>
      <c r="M2" s="38">
        <f t="shared" ref="M2:M31" si="2">J2/H2</f>
        <v>81000</v>
      </c>
      <c r="N2" s="38">
        <f t="shared" ref="N2:N236" si="3">K2/H2</f>
        <v>81000</v>
      </c>
      <c r="O2" s="38">
        <f t="shared" ref="O2:P2" si="1">J2/I2</f>
        <v>29454.54545</v>
      </c>
      <c r="P2" s="41">
        <f t="shared" si="1"/>
        <v>1</v>
      </c>
      <c r="Q2" s="37">
        <v>17.0</v>
      </c>
      <c r="R2" s="37">
        <v>1.0</v>
      </c>
      <c r="S2" s="37">
        <v>0.0</v>
      </c>
      <c r="T2" s="37">
        <v>1.0</v>
      </c>
      <c r="U2" s="37">
        <v>0.0</v>
      </c>
      <c r="V2" s="37">
        <v>1.0</v>
      </c>
      <c r="W2" s="25" t="s">
        <v>558</v>
      </c>
    </row>
    <row r="3">
      <c r="A3" s="25" t="s">
        <v>474</v>
      </c>
      <c r="B3" s="25" t="s">
        <v>52</v>
      </c>
      <c r="C3" s="36" t="s">
        <v>696</v>
      </c>
      <c r="D3" s="37">
        <v>2013.0</v>
      </c>
      <c r="E3" s="38" t="s">
        <v>475</v>
      </c>
      <c r="F3" s="38" t="s">
        <v>59</v>
      </c>
      <c r="G3" s="39" t="str">
        <f>VLOOKUP(A3,'Dataset '!A:I,9,0)</f>
        <v>2 - 10</v>
      </c>
      <c r="H3" s="25">
        <v>6.0</v>
      </c>
      <c r="I3" s="37">
        <v>12.0</v>
      </c>
      <c r="J3" s="38">
        <v>3996000.0</v>
      </c>
      <c r="K3" s="38">
        <v>540000.0</v>
      </c>
      <c r="L3" s="40">
        <f>VLOOKUP($A3,'Dataset '!$A:$I,5,0)</f>
        <v>44918</v>
      </c>
      <c r="M3" s="38">
        <f t="shared" si="2"/>
        <v>666000</v>
      </c>
      <c r="N3" s="38">
        <f t="shared" si="3"/>
        <v>90000</v>
      </c>
      <c r="O3" s="38">
        <f t="shared" ref="O3:P3" si="4">J3/I3</f>
        <v>333000</v>
      </c>
      <c r="P3" s="41">
        <f t="shared" si="4"/>
        <v>0.1351351351</v>
      </c>
      <c r="Q3" s="37">
        <v>10.0</v>
      </c>
      <c r="R3" s="37">
        <v>1.0</v>
      </c>
      <c r="S3" s="37">
        <v>0.0</v>
      </c>
      <c r="T3" s="37">
        <v>0.0</v>
      </c>
      <c r="U3" s="37">
        <v>0.0</v>
      </c>
      <c r="V3" s="37">
        <v>0.0</v>
      </c>
      <c r="W3" s="25" t="s">
        <v>558</v>
      </c>
    </row>
    <row r="4">
      <c r="A4" s="25" t="s">
        <v>221</v>
      </c>
      <c r="B4" s="25" t="s">
        <v>52</v>
      </c>
      <c r="C4" s="36" t="s">
        <v>1542</v>
      </c>
      <c r="D4" s="37">
        <v>2017.0</v>
      </c>
      <c r="E4" s="38" t="s">
        <v>223</v>
      </c>
      <c r="F4" s="38" t="s">
        <v>38</v>
      </c>
      <c r="G4" s="39" t="str">
        <f>VLOOKUP($A4,'Dataset '!$A:$I,9,0)</f>
        <v>11 - 50</v>
      </c>
      <c r="H4" s="37">
        <v>31.0</v>
      </c>
      <c r="I4" s="37">
        <v>8.0</v>
      </c>
      <c r="J4" s="38">
        <v>2306214.0</v>
      </c>
      <c r="K4" s="38">
        <v>108000.0</v>
      </c>
      <c r="L4" s="40">
        <f>VLOOKUP($A4,'Dataset '!$A:$I,5,0)</f>
        <v>45832</v>
      </c>
      <c r="M4" s="38">
        <f t="shared" si="2"/>
        <v>74394</v>
      </c>
      <c r="N4" s="38">
        <f t="shared" si="3"/>
        <v>3483.870968</v>
      </c>
      <c r="O4" s="38">
        <f t="shared" ref="O4:P4" si="5">J4/I4</f>
        <v>288276.75</v>
      </c>
      <c r="P4" s="41">
        <f t="shared" si="5"/>
        <v>0.0468299993</v>
      </c>
      <c r="Q4" s="37">
        <v>12.0</v>
      </c>
      <c r="R4" s="37">
        <v>1.0</v>
      </c>
      <c r="S4" s="37">
        <v>0.0</v>
      </c>
      <c r="T4" s="37">
        <v>1.0</v>
      </c>
      <c r="U4" s="37">
        <v>0.0</v>
      </c>
      <c r="V4" s="37">
        <v>2.0</v>
      </c>
      <c r="W4" s="25" t="s">
        <v>558</v>
      </c>
    </row>
    <row r="5">
      <c r="A5" s="25" t="s">
        <v>423</v>
      </c>
      <c r="B5" s="25" t="s">
        <v>52</v>
      </c>
      <c r="C5" s="36" t="s">
        <v>1565</v>
      </c>
      <c r="D5" s="37">
        <v>2019.0</v>
      </c>
      <c r="E5" s="38" t="s">
        <v>425</v>
      </c>
      <c r="F5" s="38" t="s">
        <v>59</v>
      </c>
      <c r="G5" s="39" t="str">
        <f>VLOOKUP(A5,'Dataset '!A:I,9,0)</f>
        <v>11 - 50</v>
      </c>
      <c r="H5" s="37">
        <v>34.0</v>
      </c>
      <c r="I5" s="37">
        <v>6.0</v>
      </c>
      <c r="J5" s="38">
        <v>216000.0</v>
      </c>
      <c r="K5" s="38">
        <v>216000.0</v>
      </c>
      <c r="L5" s="40">
        <f>VLOOKUP($A5,'Dataset '!$A:$I,5,0)</f>
        <v>44294</v>
      </c>
      <c r="M5" s="38">
        <f t="shared" si="2"/>
        <v>6352.941176</v>
      </c>
      <c r="N5" s="38">
        <f t="shared" si="3"/>
        <v>6352.941176</v>
      </c>
      <c r="O5" s="38">
        <f t="shared" ref="O5:P5" si="6">J5/I5</f>
        <v>36000</v>
      </c>
      <c r="P5" s="41">
        <f t="shared" si="6"/>
        <v>1</v>
      </c>
      <c r="Q5" s="37">
        <v>17.0</v>
      </c>
      <c r="R5" s="37">
        <v>0.0</v>
      </c>
      <c r="S5" s="37">
        <v>0.0</v>
      </c>
      <c r="T5" s="37">
        <v>0.0</v>
      </c>
      <c r="U5" s="37">
        <v>1.0</v>
      </c>
      <c r="V5" s="37">
        <v>1.0</v>
      </c>
      <c r="W5" s="25" t="s">
        <v>595</v>
      </c>
    </row>
    <row r="6">
      <c r="A6" s="25" t="s">
        <v>430</v>
      </c>
      <c r="B6" s="25" t="s">
        <v>52</v>
      </c>
      <c r="C6" s="36" t="s">
        <v>1586</v>
      </c>
      <c r="D6" s="37">
        <v>2015.0</v>
      </c>
      <c r="E6" s="38" t="s">
        <v>432</v>
      </c>
      <c r="F6" s="38" t="s">
        <v>59</v>
      </c>
      <c r="G6" s="39" t="str">
        <f>VLOOKUP(A6,'Dataset '!A:I,9,0)</f>
        <v>11 - 50</v>
      </c>
      <c r="H6" s="37">
        <v>5.0</v>
      </c>
      <c r="I6" s="37">
        <v>10.0</v>
      </c>
      <c r="J6" s="38">
        <v>216000.0</v>
      </c>
      <c r="K6" s="38">
        <v>216000.0</v>
      </c>
      <c r="L6" s="40">
        <f>VLOOKUP($A6,'Dataset '!$A:$I,5,0)</f>
        <v>42064</v>
      </c>
      <c r="M6" s="38">
        <f t="shared" si="2"/>
        <v>43200</v>
      </c>
      <c r="N6" s="38">
        <f t="shared" si="3"/>
        <v>43200</v>
      </c>
      <c r="O6" s="38">
        <f t="shared" ref="O6:P6" si="7">J6/I6</f>
        <v>21600</v>
      </c>
      <c r="P6" s="41">
        <f t="shared" si="7"/>
        <v>1</v>
      </c>
      <c r="Q6" s="37">
        <v>27.0</v>
      </c>
      <c r="R6" s="37">
        <v>0.0</v>
      </c>
      <c r="S6" s="37">
        <v>0.0</v>
      </c>
      <c r="T6" s="37">
        <v>0.0</v>
      </c>
      <c r="U6" s="37">
        <v>1.0</v>
      </c>
      <c r="V6" s="37">
        <v>6.0</v>
      </c>
      <c r="W6" s="25" t="s">
        <v>558</v>
      </c>
    </row>
    <row r="7">
      <c r="A7" s="25" t="s">
        <v>440</v>
      </c>
      <c r="B7" s="25" t="s">
        <v>52</v>
      </c>
      <c r="C7" s="36" t="s">
        <v>1601</v>
      </c>
      <c r="D7" s="37">
        <v>2007.0</v>
      </c>
      <c r="E7" s="38" t="s">
        <v>442</v>
      </c>
      <c r="F7" s="38" t="s">
        <v>59</v>
      </c>
      <c r="G7" s="39" t="str">
        <f>VLOOKUP(A7,'Dataset '!A:I,9,0)</f>
        <v>11 - 50</v>
      </c>
      <c r="H7" s="37">
        <v>35.0</v>
      </c>
      <c r="I7" s="37">
        <v>18.0</v>
      </c>
      <c r="J7" s="38">
        <v>788400.0</v>
      </c>
      <c r="K7" s="38">
        <v>248400.0</v>
      </c>
      <c r="L7" s="40">
        <f>VLOOKUP($A7,'Dataset '!$A:$I,5,0)</f>
        <v>41548</v>
      </c>
      <c r="M7" s="38">
        <f t="shared" si="2"/>
        <v>22525.71429</v>
      </c>
      <c r="N7" s="38">
        <f t="shared" si="3"/>
        <v>7097.142857</v>
      </c>
      <c r="O7" s="38">
        <f t="shared" ref="O7:P7" si="8">J7/I7</f>
        <v>43800</v>
      </c>
      <c r="P7" s="41">
        <f t="shared" si="8"/>
        <v>0.3150684932</v>
      </c>
      <c r="Q7" s="37">
        <v>45.0</v>
      </c>
      <c r="R7" s="37">
        <v>0.0</v>
      </c>
      <c r="S7" s="37">
        <v>0.0</v>
      </c>
      <c r="T7" s="37">
        <v>1.0</v>
      </c>
      <c r="U7" s="37">
        <v>1.0</v>
      </c>
      <c r="V7" s="37">
        <v>4.0</v>
      </c>
      <c r="W7" s="25" t="s">
        <v>595</v>
      </c>
    </row>
    <row r="8">
      <c r="A8" s="25" t="s">
        <v>462</v>
      </c>
      <c r="B8" s="25" t="s">
        <v>52</v>
      </c>
      <c r="C8" s="36" t="s">
        <v>1608</v>
      </c>
      <c r="D8" s="37">
        <v>2017.0</v>
      </c>
      <c r="E8" s="38" t="s">
        <v>463</v>
      </c>
      <c r="F8" s="38" t="s">
        <v>59</v>
      </c>
      <c r="G8" s="39" t="str">
        <f>VLOOKUP(A8,'Dataset '!A:I,9,0)</f>
        <v>11 - 50</v>
      </c>
      <c r="H8" s="37">
        <v>46.0</v>
      </c>
      <c r="I8" s="37">
        <v>8.0</v>
      </c>
      <c r="J8" s="38">
        <v>324000.0</v>
      </c>
      <c r="K8" s="38">
        <v>324000.0</v>
      </c>
      <c r="L8" s="40">
        <f>VLOOKUP($A8,'Dataset '!$A:$I,5,0)</f>
        <v>43524</v>
      </c>
      <c r="M8" s="38">
        <f t="shared" si="2"/>
        <v>7043.478261</v>
      </c>
      <c r="N8" s="38">
        <f t="shared" si="3"/>
        <v>7043.478261</v>
      </c>
      <c r="O8" s="38">
        <f t="shared" ref="O8:P8" si="9">J8/I8</f>
        <v>40500</v>
      </c>
      <c r="P8" s="41">
        <f t="shared" si="9"/>
        <v>1</v>
      </c>
      <c r="Q8" s="37">
        <v>23.0</v>
      </c>
      <c r="R8" s="37">
        <v>0.0</v>
      </c>
      <c r="S8" s="37">
        <v>0.0</v>
      </c>
      <c r="T8" s="37">
        <v>0.0</v>
      </c>
      <c r="U8" s="37">
        <v>1.0</v>
      </c>
      <c r="V8" s="37">
        <v>3.0</v>
      </c>
      <c r="W8" s="25" t="s">
        <v>569</v>
      </c>
    </row>
    <row r="9">
      <c r="A9" s="25" t="s">
        <v>477</v>
      </c>
      <c r="B9" s="25" t="s">
        <v>52</v>
      </c>
      <c r="C9" s="36" t="s">
        <v>1624</v>
      </c>
      <c r="D9" s="37">
        <v>2017.0</v>
      </c>
      <c r="E9" s="38" t="s">
        <v>478</v>
      </c>
      <c r="F9" s="38" t="s">
        <v>59</v>
      </c>
      <c r="G9" s="39" t="str">
        <f>VLOOKUP(A9,'Dataset '!A:I,9,0)</f>
        <v>11 - 50</v>
      </c>
      <c r="H9" s="37">
        <v>35.0</v>
      </c>
      <c r="I9" s="37">
        <v>8.0</v>
      </c>
      <c r="J9" s="38">
        <v>540000.0</v>
      </c>
      <c r="K9" s="38">
        <v>540000.0</v>
      </c>
      <c r="L9" s="40">
        <f>VLOOKUP($A9,'Dataset '!$A:$I,5,0)</f>
        <v>43451</v>
      </c>
      <c r="M9" s="38">
        <f t="shared" si="2"/>
        <v>15428.57143</v>
      </c>
      <c r="N9" s="38">
        <f t="shared" si="3"/>
        <v>15428.57143</v>
      </c>
      <c r="O9" s="38">
        <f t="shared" ref="O9:P9" si="10">J9/I9</f>
        <v>67500</v>
      </c>
      <c r="P9" s="41">
        <f t="shared" si="10"/>
        <v>1</v>
      </c>
      <c r="Q9" s="37">
        <v>17.0</v>
      </c>
      <c r="R9" s="37">
        <v>1.0</v>
      </c>
      <c r="S9" s="37">
        <v>1.0</v>
      </c>
      <c r="T9" s="37">
        <v>0.0</v>
      </c>
      <c r="U9" s="37">
        <v>0.0</v>
      </c>
      <c r="V9" s="37">
        <v>0.0</v>
      </c>
      <c r="W9" s="25" t="s">
        <v>558</v>
      </c>
    </row>
    <row r="10">
      <c r="A10" s="25" t="s">
        <v>491</v>
      </c>
      <c r="B10" s="25" t="s">
        <v>52</v>
      </c>
      <c r="C10" s="36" t="s">
        <v>1639</v>
      </c>
      <c r="D10" s="37">
        <v>2019.0</v>
      </c>
      <c r="E10" s="38" t="s">
        <v>492</v>
      </c>
      <c r="F10" s="38" t="s">
        <v>59</v>
      </c>
      <c r="G10" s="39" t="str">
        <f>VLOOKUP(A10,'Dataset '!A:I,9,0)</f>
        <v>2 - 10</v>
      </c>
      <c r="H10" s="37">
        <v>7.0</v>
      </c>
      <c r="I10" s="37">
        <v>6.0</v>
      </c>
      <c r="J10" s="38">
        <v>864000.0</v>
      </c>
      <c r="K10" s="38">
        <v>648000.0</v>
      </c>
      <c r="L10" s="40">
        <f>VLOOKUP($A10,'Dataset '!$A:$I,5,0)</f>
        <v>43646</v>
      </c>
      <c r="M10" s="38">
        <f t="shared" si="2"/>
        <v>123428.5714</v>
      </c>
      <c r="N10" s="38">
        <f t="shared" si="3"/>
        <v>92571.42857</v>
      </c>
      <c r="O10" s="38">
        <f t="shared" ref="O10:P10" si="11">J10/I10</f>
        <v>144000</v>
      </c>
      <c r="P10" s="41">
        <f t="shared" si="11"/>
        <v>0.75</v>
      </c>
      <c r="Q10" s="37">
        <v>25.0</v>
      </c>
      <c r="R10" s="37">
        <v>0.0</v>
      </c>
      <c r="S10" s="37">
        <v>0.0</v>
      </c>
      <c r="T10" s="37">
        <v>1.0</v>
      </c>
      <c r="U10" s="37">
        <v>1.0</v>
      </c>
      <c r="V10" s="37">
        <v>3.0</v>
      </c>
      <c r="W10" s="25" t="s">
        <v>595</v>
      </c>
    </row>
    <row r="11">
      <c r="A11" s="25" t="s">
        <v>493</v>
      </c>
      <c r="B11" s="25" t="s">
        <v>52</v>
      </c>
      <c r="C11" s="36" t="s">
        <v>1649</v>
      </c>
      <c r="D11" s="37">
        <v>2013.0</v>
      </c>
      <c r="E11" s="38" t="s">
        <v>494</v>
      </c>
      <c r="F11" s="38" t="s">
        <v>59</v>
      </c>
      <c r="G11" s="39" t="str">
        <f>VLOOKUP(A11,'Dataset '!A:I,9,0)</f>
        <v>2 - 10</v>
      </c>
      <c r="H11" s="37">
        <v>5.0</v>
      </c>
      <c r="I11" s="37">
        <v>12.0</v>
      </c>
      <c r="J11" s="38">
        <v>648000.0</v>
      </c>
      <c r="K11" s="38">
        <v>648000.0</v>
      </c>
      <c r="L11" s="40">
        <f>VLOOKUP($A11,'Dataset '!$A:$I,5,0)</f>
        <v>43504</v>
      </c>
      <c r="M11" s="38">
        <f t="shared" si="2"/>
        <v>129600</v>
      </c>
      <c r="N11" s="38">
        <f t="shared" si="3"/>
        <v>129600</v>
      </c>
      <c r="O11" s="38">
        <f t="shared" ref="O11:P11" si="12">J11/I11</f>
        <v>54000</v>
      </c>
      <c r="P11" s="41">
        <f t="shared" si="12"/>
        <v>1</v>
      </c>
      <c r="Q11" s="37">
        <v>15.0</v>
      </c>
      <c r="R11" s="37">
        <v>1.0</v>
      </c>
      <c r="S11" s="37">
        <v>0.0</v>
      </c>
      <c r="T11" s="37">
        <v>1.0</v>
      </c>
      <c r="U11" s="37">
        <v>1.0</v>
      </c>
      <c r="V11" s="37">
        <v>0.0</v>
      </c>
      <c r="W11" s="25" t="s">
        <v>569</v>
      </c>
    </row>
    <row r="12">
      <c r="A12" s="25" t="s">
        <v>500</v>
      </c>
      <c r="B12" s="25" t="s">
        <v>52</v>
      </c>
      <c r="C12" s="36" t="s">
        <v>1661</v>
      </c>
      <c r="D12" s="37">
        <v>2013.0</v>
      </c>
      <c r="E12" s="38" t="s">
        <v>501</v>
      </c>
      <c r="F12" s="38" t="s">
        <v>59</v>
      </c>
      <c r="G12" s="39" t="str">
        <f>VLOOKUP(A12,'Dataset '!A:I,9,0)</f>
        <v>2 - 10</v>
      </c>
      <c r="H12" s="37">
        <v>5.0</v>
      </c>
      <c r="I12" s="37">
        <v>12.0</v>
      </c>
      <c r="J12" s="38">
        <v>756000.0</v>
      </c>
      <c r="K12" s="38">
        <v>756000.0</v>
      </c>
      <c r="L12" s="40">
        <f>VLOOKUP($A12,'Dataset '!$A:$I,5,0)</f>
        <v>44864</v>
      </c>
      <c r="M12" s="38">
        <f t="shared" si="2"/>
        <v>151200</v>
      </c>
      <c r="N12" s="38">
        <f t="shared" si="3"/>
        <v>151200</v>
      </c>
      <c r="O12" s="38">
        <f t="shared" ref="O12:P12" si="13">J12/I12</f>
        <v>63000</v>
      </c>
      <c r="P12" s="41">
        <f t="shared" si="13"/>
        <v>1</v>
      </c>
      <c r="Q12" s="37">
        <v>13.0</v>
      </c>
      <c r="R12" s="37">
        <v>2.0</v>
      </c>
      <c r="S12" s="37">
        <v>0.0</v>
      </c>
      <c r="T12" s="37">
        <v>1.0</v>
      </c>
      <c r="U12" s="37">
        <v>0.0</v>
      </c>
      <c r="V12" s="37">
        <v>0.0</v>
      </c>
      <c r="W12" s="25" t="s">
        <v>569</v>
      </c>
    </row>
    <row r="13">
      <c r="A13" s="25" t="s">
        <v>509</v>
      </c>
      <c r="B13" s="25" t="s">
        <v>52</v>
      </c>
      <c r="C13" s="36" t="s">
        <v>1676</v>
      </c>
      <c r="D13" s="37">
        <v>2021.0</v>
      </c>
      <c r="E13" s="38" t="s">
        <v>510</v>
      </c>
      <c r="F13" s="38" t="s">
        <v>59</v>
      </c>
      <c r="G13" s="39" t="str">
        <f>VLOOKUP(A13,'Dataset '!A:I,9,0)</f>
        <v>2 - 10</v>
      </c>
      <c r="H13" s="37">
        <v>7.0</v>
      </c>
      <c r="I13" s="37">
        <v>4.0</v>
      </c>
      <c r="J13" s="38">
        <v>831600.0</v>
      </c>
      <c r="K13" s="38">
        <v>831600.0</v>
      </c>
      <c r="L13" s="40">
        <f>VLOOKUP($A13,'Dataset '!$A:$I,5,0)</f>
        <v>44797</v>
      </c>
      <c r="M13" s="38">
        <f t="shared" si="2"/>
        <v>118800</v>
      </c>
      <c r="N13" s="38">
        <f t="shared" si="3"/>
        <v>118800</v>
      </c>
      <c r="O13" s="38">
        <f t="shared" ref="O13:P13" si="14">J13/I13</f>
        <v>207900</v>
      </c>
      <c r="P13" s="41">
        <f t="shared" si="14"/>
        <v>1</v>
      </c>
      <c r="Q13" s="37">
        <v>10.0</v>
      </c>
      <c r="R13" s="37">
        <v>1.0</v>
      </c>
      <c r="S13" s="37">
        <v>0.0</v>
      </c>
      <c r="T13" s="37">
        <v>1.0</v>
      </c>
      <c r="U13" s="37">
        <v>0.0</v>
      </c>
      <c r="V13" s="37">
        <v>0.0</v>
      </c>
      <c r="W13" s="25" t="s">
        <v>558</v>
      </c>
    </row>
    <row r="14">
      <c r="A14" s="25" t="s">
        <v>511</v>
      </c>
      <c r="B14" s="25" t="s">
        <v>52</v>
      </c>
      <c r="C14" s="36" t="s">
        <v>805</v>
      </c>
      <c r="D14" s="37">
        <v>2017.0</v>
      </c>
      <c r="E14" s="38" t="s">
        <v>512</v>
      </c>
      <c r="F14" s="38" t="s">
        <v>59</v>
      </c>
      <c r="G14" s="39" t="str">
        <f>VLOOKUP(A14,'Dataset '!A:I,9,0)</f>
        <v>11 - 50</v>
      </c>
      <c r="H14" s="37">
        <v>15.0</v>
      </c>
      <c r="I14" s="37">
        <v>8.0</v>
      </c>
      <c r="J14" s="38">
        <v>1285200.0</v>
      </c>
      <c r="K14" s="38">
        <v>864000.0</v>
      </c>
      <c r="L14" s="40">
        <f>VLOOKUP($A14,'Dataset '!$A:$I,5,0)</f>
        <v>44454</v>
      </c>
      <c r="M14" s="38">
        <f t="shared" si="2"/>
        <v>85680</v>
      </c>
      <c r="N14" s="38">
        <f t="shared" si="3"/>
        <v>57600</v>
      </c>
      <c r="O14" s="38">
        <f t="shared" ref="O14:P14" si="15">J14/I14</f>
        <v>160650</v>
      </c>
      <c r="P14" s="41">
        <f t="shared" si="15"/>
        <v>0.6722689076</v>
      </c>
      <c r="Q14" s="37">
        <v>21.0</v>
      </c>
      <c r="R14" s="37">
        <v>1.0</v>
      </c>
      <c r="S14" s="37">
        <v>0.0</v>
      </c>
      <c r="T14" s="37">
        <v>0.0</v>
      </c>
      <c r="U14" s="37">
        <v>1.0</v>
      </c>
      <c r="V14" s="37">
        <v>2.0</v>
      </c>
      <c r="W14" s="25" t="s">
        <v>558</v>
      </c>
    </row>
    <row r="15">
      <c r="A15" s="25" t="s">
        <v>517</v>
      </c>
      <c r="B15" s="25" t="s">
        <v>52</v>
      </c>
      <c r="C15" s="36" t="s">
        <v>820</v>
      </c>
      <c r="D15" s="37">
        <v>2018.0</v>
      </c>
      <c r="E15" s="38" t="s">
        <v>518</v>
      </c>
      <c r="F15" s="38" t="s">
        <v>59</v>
      </c>
      <c r="G15" s="39" t="str">
        <f>VLOOKUP(A15,'Dataset '!A:I,9,0)</f>
        <v>2 - 10</v>
      </c>
      <c r="H15" s="37">
        <v>5.0</v>
      </c>
      <c r="I15" s="37">
        <v>7.0</v>
      </c>
      <c r="J15" s="38">
        <v>3132000.0</v>
      </c>
      <c r="K15" s="38">
        <v>972000.0</v>
      </c>
      <c r="L15" s="40">
        <f>VLOOKUP($A15,'Dataset '!$A:$I,5,0)</f>
        <v>44470</v>
      </c>
      <c r="M15" s="38">
        <f t="shared" si="2"/>
        <v>626400</v>
      </c>
      <c r="N15" s="38">
        <f t="shared" si="3"/>
        <v>194400</v>
      </c>
      <c r="O15" s="38">
        <f t="shared" ref="O15:P15" si="16">J15/I15</f>
        <v>447428.5714</v>
      </c>
      <c r="P15" s="41">
        <f t="shared" si="16"/>
        <v>0.3103448276</v>
      </c>
      <c r="Q15" s="37">
        <v>17.0</v>
      </c>
      <c r="R15" s="37">
        <v>1.0</v>
      </c>
      <c r="S15" s="37">
        <v>1.0</v>
      </c>
      <c r="T15" s="37">
        <v>2.0</v>
      </c>
      <c r="U15" s="37">
        <v>0.0</v>
      </c>
      <c r="V15" s="37">
        <v>2.0</v>
      </c>
      <c r="W15" s="25" t="s">
        <v>595</v>
      </c>
    </row>
    <row r="16">
      <c r="A16" s="25" t="s">
        <v>590</v>
      </c>
      <c r="B16" s="25" t="s">
        <v>48</v>
      </c>
      <c r="C16" s="36" t="s">
        <v>934</v>
      </c>
      <c r="D16" s="37">
        <v>2022.0</v>
      </c>
      <c r="E16" s="38" t="s">
        <v>591</v>
      </c>
      <c r="F16" s="38" t="s">
        <v>59</v>
      </c>
      <c r="G16" s="39" t="str">
        <f>VLOOKUP(A16,'Dataset '!A:I,9,0)</f>
        <v>11 - 50</v>
      </c>
      <c r="H16" s="37">
        <v>18.0</v>
      </c>
      <c r="I16" s="37">
        <v>3.0</v>
      </c>
      <c r="J16" s="38">
        <v>2500000.0</v>
      </c>
      <c r="K16" s="38">
        <v>2500000.0</v>
      </c>
      <c r="L16" s="40">
        <f>VLOOKUP($A16,'Dataset '!$A:$I,5,0)</f>
        <v>45015</v>
      </c>
      <c r="M16" s="38">
        <f t="shared" si="2"/>
        <v>138888.8889</v>
      </c>
      <c r="N16" s="38">
        <f t="shared" si="3"/>
        <v>138888.8889</v>
      </c>
      <c r="O16" s="38">
        <f t="shared" ref="O16:P16" si="17">J16/I16</f>
        <v>833333.3333</v>
      </c>
      <c r="P16" s="41">
        <f t="shared" si="17"/>
        <v>1</v>
      </c>
      <c r="Q16" s="37">
        <v>15.0</v>
      </c>
      <c r="R16" s="37">
        <v>1.0</v>
      </c>
      <c r="S16" s="37">
        <v>1.0</v>
      </c>
      <c r="T16" s="37">
        <v>0.0</v>
      </c>
      <c r="U16" s="37">
        <v>0.0</v>
      </c>
      <c r="V16" s="37">
        <v>1.0</v>
      </c>
      <c r="W16" s="25" t="s">
        <v>558</v>
      </c>
    </row>
    <row r="17">
      <c r="A17" s="25" t="s">
        <v>603</v>
      </c>
      <c r="B17" s="25" t="s">
        <v>48</v>
      </c>
      <c r="C17" s="36" t="s">
        <v>960</v>
      </c>
      <c r="D17" s="37">
        <v>2018.0</v>
      </c>
      <c r="E17" s="38" t="s">
        <v>604</v>
      </c>
      <c r="F17" s="38" t="s">
        <v>76</v>
      </c>
      <c r="G17" s="39" t="str">
        <f>VLOOKUP(A17,'Dataset '!A:I,9,0)</f>
        <v>11 - 50</v>
      </c>
      <c r="H17" s="37">
        <v>32.0</v>
      </c>
      <c r="I17" s="37">
        <v>7.0</v>
      </c>
      <c r="J17" s="38">
        <v>2.0E7</v>
      </c>
      <c r="K17" s="38">
        <v>2.0E7</v>
      </c>
      <c r="L17" s="40">
        <f>VLOOKUP($A17,'Dataset '!$A:$I,5,0)</f>
        <v>43229</v>
      </c>
      <c r="M17" s="38">
        <f t="shared" si="2"/>
        <v>625000</v>
      </c>
      <c r="N17" s="38">
        <f t="shared" si="3"/>
        <v>625000</v>
      </c>
      <c r="O17" s="38">
        <f t="shared" ref="O17:P17" si="18">J17/I17</f>
        <v>2857142.857</v>
      </c>
      <c r="P17" s="41">
        <f t="shared" si="18"/>
        <v>1</v>
      </c>
      <c r="Q17" s="37">
        <v>18.0</v>
      </c>
      <c r="R17" s="37">
        <v>0.0</v>
      </c>
      <c r="S17" s="37">
        <v>0.0</v>
      </c>
      <c r="T17" s="37">
        <v>0.0</v>
      </c>
      <c r="U17" s="37">
        <v>0.0</v>
      </c>
      <c r="V17" s="37">
        <v>3.0</v>
      </c>
      <c r="W17" s="25" t="s">
        <v>569</v>
      </c>
    </row>
    <row r="18">
      <c r="A18" s="26" t="s">
        <v>610</v>
      </c>
      <c r="B18" s="25" t="s">
        <v>48</v>
      </c>
      <c r="C18" s="36" t="s">
        <v>1750</v>
      </c>
      <c r="D18" s="37">
        <v>2020.0</v>
      </c>
      <c r="E18" s="38" t="s">
        <v>611</v>
      </c>
      <c r="F18" s="38" t="s">
        <v>59</v>
      </c>
      <c r="G18" s="39" t="str">
        <f>VLOOKUP(A18,'Dataset '!A:I,9,0)</f>
        <v>2 - 10</v>
      </c>
      <c r="H18" s="37">
        <v>39.0</v>
      </c>
      <c r="I18" s="37">
        <v>5.0</v>
      </c>
      <c r="J18" s="38">
        <v>3700000.0</v>
      </c>
      <c r="K18" s="38">
        <v>3600000.0</v>
      </c>
      <c r="L18" s="40">
        <f>VLOOKUP($A18,'Dataset '!$A:$I,5,0)</f>
        <v>44944</v>
      </c>
      <c r="M18" s="38">
        <f t="shared" si="2"/>
        <v>94871.79487</v>
      </c>
      <c r="N18" s="38">
        <f t="shared" si="3"/>
        <v>92307.69231</v>
      </c>
      <c r="O18" s="38">
        <f t="shared" ref="O18:P18" si="19">J18/I18</f>
        <v>740000</v>
      </c>
      <c r="P18" s="41">
        <f t="shared" si="19"/>
        <v>0.972972973</v>
      </c>
      <c r="Q18" s="37">
        <v>19.0</v>
      </c>
      <c r="R18" s="37">
        <v>1.0</v>
      </c>
      <c r="S18" s="37">
        <v>1.0</v>
      </c>
      <c r="T18" s="37">
        <v>1.0</v>
      </c>
      <c r="U18" s="37">
        <v>1.0</v>
      </c>
      <c r="V18" s="37">
        <v>2.0</v>
      </c>
      <c r="W18" s="25" t="s">
        <v>558</v>
      </c>
    </row>
    <row r="19">
      <c r="A19" s="25" t="s">
        <v>617</v>
      </c>
      <c r="B19" s="25" t="s">
        <v>48</v>
      </c>
      <c r="C19" s="36" t="s">
        <v>1768</v>
      </c>
      <c r="D19" s="37">
        <v>2023.0</v>
      </c>
      <c r="E19" s="38" t="s">
        <v>618</v>
      </c>
      <c r="F19" s="38" t="s">
        <v>59</v>
      </c>
      <c r="G19" s="39" t="str">
        <f>VLOOKUP(A19,'Dataset '!A:I,9,0)</f>
        <v>11 - 50</v>
      </c>
      <c r="H19" s="37">
        <v>27.0</v>
      </c>
      <c r="I19" s="37">
        <v>2.0</v>
      </c>
      <c r="J19" s="38">
        <v>3200000.0</v>
      </c>
      <c r="K19" s="38">
        <v>3000000.0</v>
      </c>
      <c r="L19" s="40">
        <f>VLOOKUP($A19,'Dataset '!$A:$I,5,0)</f>
        <v>45740</v>
      </c>
      <c r="M19" s="38">
        <f t="shared" si="2"/>
        <v>118518.5185</v>
      </c>
      <c r="N19" s="38">
        <f t="shared" si="3"/>
        <v>111111.1111</v>
      </c>
      <c r="O19" s="38">
        <f t="shared" ref="O19:P19" si="20">J19/I19</f>
        <v>1600000</v>
      </c>
      <c r="P19" s="41">
        <f t="shared" si="20"/>
        <v>0.9375</v>
      </c>
      <c r="Q19" s="37">
        <v>8.0</v>
      </c>
      <c r="R19" s="37">
        <v>0.0</v>
      </c>
      <c r="S19" s="37">
        <v>0.0</v>
      </c>
      <c r="T19" s="37">
        <v>0.0</v>
      </c>
      <c r="U19" s="37">
        <v>0.0</v>
      </c>
      <c r="V19" s="37">
        <v>1.0</v>
      </c>
      <c r="W19" s="25" t="s">
        <v>558</v>
      </c>
    </row>
    <row r="20">
      <c r="A20" s="25" t="s">
        <v>673</v>
      </c>
      <c r="B20" s="25" t="s">
        <v>52</v>
      </c>
      <c r="C20" s="36" t="s">
        <v>891</v>
      </c>
      <c r="D20" s="37">
        <v>2023.0</v>
      </c>
      <c r="E20" s="38" t="s">
        <v>674</v>
      </c>
      <c r="F20" s="38" t="s">
        <v>59</v>
      </c>
      <c r="G20" s="39" t="str">
        <f>VLOOKUP(A20,'Dataset '!A:I,9,0)</f>
        <v>2 - 10</v>
      </c>
      <c r="H20" s="37">
        <v>9.0</v>
      </c>
      <c r="I20" s="37">
        <v>2.0</v>
      </c>
      <c r="J20" s="38">
        <v>1300000.0</v>
      </c>
      <c r="K20" s="38">
        <v>1000000.0</v>
      </c>
      <c r="L20" s="40">
        <f>VLOOKUP($A20,'Dataset '!$A:$I,5,0)</f>
        <v>45352</v>
      </c>
      <c r="M20" s="38">
        <f t="shared" si="2"/>
        <v>144444.4444</v>
      </c>
      <c r="N20" s="38">
        <f t="shared" si="3"/>
        <v>111111.1111</v>
      </c>
      <c r="O20" s="38">
        <f t="shared" ref="O20:P20" si="21">J20/I20</f>
        <v>650000</v>
      </c>
      <c r="P20" s="41">
        <f t="shared" si="21"/>
        <v>0.7692307692</v>
      </c>
      <c r="Q20" s="37">
        <v>7.0</v>
      </c>
      <c r="R20" s="37">
        <v>0.0</v>
      </c>
      <c r="S20" s="37">
        <v>0.0</v>
      </c>
      <c r="T20" s="37">
        <v>0.0</v>
      </c>
      <c r="U20" s="37">
        <v>0.0</v>
      </c>
      <c r="V20" s="37">
        <v>0.0</v>
      </c>
      <c r="W20" s="25" t="s">
        <v>569</v>
      </c>
    </row>
    <row r="21">
      <c r="A21" s="25" t="s">
        <v>689</v>
      </c>
      <c r="B21" s="25" t="s">
        <v>52</v>
      </c>
      <c r="C21" s="36" t="s">
        <v>820</v>
      </c>
      <c r="D21" s="37">
        <v>2018.0</v>
      </c>
      <c r="E21" s="38" t="s">
        <v>690</v>
      </c>
      <c r="F21" s="38" t="s">
        <v>59</v>
      </c>
      <c r="G21" s="39" t="str">
        <f>VLOOKUP(A21,'Dataset '!A:I,9,0)</f>
        <v>2 - 10</v>
      </c>
      <c r="H21" s="37">
        <v>5.0</v>
      </c>
      <c r="I21" s="37">
        <v>7.0</v>
      </c>
      <c r="J21" s="38">
        <v>3298430.0</v>
      </c>
      <c r="K21" s="38">
        <v>1043455.0</v>
      </c>
      <c r="L21" s="40">
        <f>VLOOKUP($A21,'Dataset '!$A:$I,5,0)</f>
        <v>44501</v>
      </c>
      <c r="M21" s="38">
        <f t="shared" si="2"/>
        <v>659686</v>
      </c>
      <c r="N21" s="38">
        <f t="shared" si="3"/>
        <v>208691</v>
      </c>
      <c r="O21" s="38">
        <f t="shared" ref="O21:P21" si="22">J21/I21</f>
        <v>471204.2857</v>
      </c>
      <c r="P21" s="41">
        <f t="shared" si="22"/>
        <v>0.3163489903</v>
      </c>
      <c r="Q21" s="37">
        <v>17.0</v>
      </c>
      <c r="R21" s="37">
        <v>1.0</v>
      </c>
      <c r="S21" s="37">
        <v>1.0</v>
      </c>
      <c r="T21" s="37">
        <v>2.0</v>
      </c>
      <c r="U21" s="37">
        <v>0.0</v>
      </c>
      <c r="V21" s="37">
        <v>2.0</v>
      </c>
      <c r="W21" s="25" t="s">
        <v>595</v>
      </c>
    </row>
    <row r="22">
      <c r="A22" s="25" t="s">
        <v>693</v>
      </c>
      <c r="B22" s="25" t="s">
        <v>48</v>
      </c>
      <c r="C22" s="36" t="s">
        <v>961</v>
      </c>
      <c r="D22" s="37">
        <v>2017.0</v>
      </c>
      <c r="E22" s="38" t="s">
        <v>694</v>
      </c>
      <c r="F22" s="38" t="s">
        <v>38</v>
      </c>
      <c r="G22" s="39" t="str">
        <f>VLOOKUP(A22,'Dataset '!A:I,9,0)</f>
        <v>11 - 50</v>
      </c>
      <c r="H22" s="25">
        <v>30.0</v>
      </c>
      <c r="I22" s="37">
        <v>8.0</v>
      </c>
      <c r="J22" s="38">
        <v>1200000.0</v>
      </c>
      <c r="K22" s="38">
        <v>1200000.0</v>
      </c>
      <c r="L22" s="40">
        <f>VLOOKUP($A22,'Dataset '!$A:$I,5,0)</f>
        <v>45355</v>
      </c>
      <c r="M22" s="38">
        <f t="shared" si="2"/>
        <v>40000</v>
      </c>
      <c r="N22" s="38">
        <f t="shared" si="3"/>
        <v>40000</v>
      </c>
      <c r="O22" s="38">
        <f t="shared" ref="O22:P22" si="23">J22/I22</f>
        <v>150000</v>
      </c>
      <c r="P22" s="41">
        <f t="shared" si="23"/>
        <v>1</v>
      </c>
      <c r="Q22" s="37">
        <v>0.0</v>
      </c>
      <c r="R22" s="37">
        <v>0.0</v>
      </c>
      <c r="S22" s="37">
        <v>0.0</v>
      </c>
      <c r="T22" s="37">
        <v>0.0</v>
      </c>
      <c r="U22" s="37">
        <v>0.0</v>
      </c>
      <c r="V22" s="37">
        <v>0.0</v>
      </c>
      <c r="W22" s="25" t="s">
        <v>550</v>
      </c>
    </row>
    <row r="23">
      <c r="A23" s="25" t="s">
        <v>697</v>
      </c>
      <c r="B23" s="25" t="s">
        <v>52</v>
      </c>
      <c r="C23" s="36" t="s">
        <v>967</v>
      </c>
      <c r="D23" s="37">
        <v>2015.0</v>
      </c>
      <c r="E23" s="38" t="s">
        <v>698</v>
      </c>
      <c r="F23" s="38" t="s">
        <v>59</v>
      </c>
      <c r="G23" s="39" t="str">
        <f>VLOOKUP(A23,'Dataset '!A:I,9,0)</f>
        <v>11 - 50</v>
      </c>
      <c r="H23" s="37">
        <v>2.0</v>
      </c>
      <c r="I23" s="37">
        <v>10.0</v>
      </c>
      <c r="J23" s="38">
        <v>1250000.0</v>
      </c>
      <c r="K23" s="38">
        <v>1250000.0</v>
      </c>
      <c r="L23" s="40">
        <f>VLOOKUP($A23,'Dataset '!$A:$I,5,0)</f>
        <v>44078</v>
      </c>
      <c r="M23" s="38">
        <f t="shared" si="2"/>
        <v>625000</v>
      </c>
      <c r="N23" s="38">
        <f t="shared" si="3"/>
        <v>625000</v>
      </c>
      <c r="O23" s="38">
        <f t="shared" ref="O23:P23" si="24">J23/I23</f>
        <v>125000</v>
      </c>
      <c r="P23" s="41">
        <f t="shared" si="24"/>
        <v>1</v>
      </c>
      <c r="Q23" s="37">
        <v>12.0</v>
      </c>
      <c r="R23" s="37">
        <v>0.0</v>
      </c>
      <c r="S23" s="37">
        <v>1.0</v>
      </c>
      <c r="T23" s="37">
        <v>0.0</v>
      </c>
      <c r="U23" s="37">
        <v>0.0</v>
      </c>
      <c r="V23" s="37">
        <v>0.0</v>
      </c>
      <c r="W23" s="25" t="s">
        <v>558</v>
      </c>
    </row>
    <row r="24">
      <c r="A24" s="25" t="s">
        <v>717</v>
      </c>
      <c r="B24" s="25" t="s">
        <v>52</v>
      </c>
      <c r="C24" s="36" t="s">
        <v>1122</v>
      </c>
      <c r="D24" s="37">
        <v>2018.0</v>
      </c>
      <c r="E24" s="38" t="s">
        <v>718</v>
      </c>
      <c r="F24" s="38" t="s">
        <v>59</v>
      </c>
      <c r="G24" s="39" t="str">
        <f>VLOOKUP(A24,'Dataset '!A:I,9,0)</f>
        <v>11 - 50</v>
      </c>
      <c r="H24" s="37">
        <v>23.0</v>
      </c>
      <c r="I24" s="37">
        <v>7.0</v>
      </c>
      <c r="J24" s="38">
        <v>1950000.0</v>
      </c>
      <c r="K24" s="38">
        <v>1950000.0</v>
      </c>
      <c r="L24" s="40">
        <f>VLOOKUP($A24,'Dataset '!$A:$I,5,0)</f>
        <v>45355</v>
      </c>
      <c r="M24" s="38">
        <f t="shared" si="2"/>
        <v>84782.6087</v>
      </c>
      <c r="N24" s="38">
        <f t="shared" si="3"/>
        <v>84782.6087</v>
      </c>
      <c r="O24" s="38">
        <f t="shared" ref="O24:P24" si="25">J24/I24</f>
        <v>278571.4286</v>
      </c>
      <c r="P24" s="41">
        <f t="shared" si="25"/>
        <v>1</v>
      </c>
      <c r="Q24" s="37">
        <v>13.0</v>
      </c>
      <c r="R24" s="37">
        <v>1.0</v>
      </c>
      <c r="S24" s="37">
        <v>0.0</v>
      </c>
      <c r="T24" s="37">
        <v>4.0</v>
      </c>
      <c r="U24" s="37">
        <v>0.0</v>
      </c>
      <c r="V24" s="37">
        <v>0.0</v>
      </c>
      <c r="W24" s="25" t="s">
        <v>569</v>
      </c>
    </row>
    <row r="25">
      <c r="A25" s="25" t="s">
        <v>774</v>
      </c>
      <c r="B25" s="25" t="s">
        <v>52</v>
      </c>
      <c r="C25" s="36" t="s">
        <v>1206</v>
      </c>
      <c r="D25" s="37">
        <v>2023.0</v>
      </c>
      <c r="E25" s="38" t="s">
        <v>775</v>
      </c>
      <c r="F25" s="38" t="s">
        <v>59</v>
      </c>
      <c r="G25" s="39" t="str">
        <f>VLOOKUP(A25,'Dataset '!A:I,9,0)</f>
        <v>2 - 10</v>
      </c>
      <c r="H25" s="37">
        <v>6.0</v>
      </c>
      <c r="I25" s="37">
        <v>2.0</v>
      </c>
      <c r="J25" s="38">
        <v>1.1E7</v>
      </c>
      <c r="K25" s="38">
        <v>1.1E7</v>
      </c>
      <c r="L25" s="40">
        <f>VLOOKUP($A25,'Dataset '!$A:$I,5,0)</f>
        <v>45505</v>
      </c>
      <c r="M25" s="38">
        <f t="shared" si="2"/>
        <v>1833333.333</v>
      </c>
      <c r="N25" s="38">
        <f t="shared" si="3"/>
        <v>1833333.333</v>
      </c>
      <c r="O25" s="38">
        <f t="shared" ref="O25:P25" si="26">J25/I25</f>
        <v>5500000</v>
      </c>
      <c r="P25" s="41">
        <f t="shared" si="26"/>
        <v>1</v>
      </c>
      <c r="Q25" s="37">
        <v>6.0</v>
      </c>
      <c r="R25" s="37">
        <v>0.0</v>
      </c>
      <c r="S25" s="37">
        <v>0.0</v>
      </c>
      <c r="T25" s="37">
        <v>0.0</v>
      </c>
      <c r="U25" s="37">
        <v>0.0</v>
      </c>
      <c r="V25" s="37">
        <v>0.0</v>
      </c>
      <c r="W25" s="25" t="s">
        <v>550</v>
      </c>
    </row>
    <row r="26">
      <c r="A26" s="25" t="s">
        <v>795</v>
      </c>
      <c r="B26" s="25" t="s">
        <v>52</v>
      </c>
      <c r="C26" s="36" t="s">
        <v>1835</v>
      </c>
      <c r="D26" s="37">
        <v>2016.0</v>
      </c>
      <c r="E26" s="38" t="s">
        <v>796</v>
      </c>
      <c r="F26" s="38" t="s">
        <v>289</v>
      </c>
      <c r="G26" s="39" t="str">
        <f>VLOOKUP(A26,'Dataset '!A:I,9,0)</f>
        <v>11 - 50</v>
      </c>
      <c r="H26" s="37">
        <v>37.0</v>
      </c>
      <c r="I26" s="37">
        <v>9.0</v>
      </c>
      <c r="J26" s="38">
        <v>1.6635985E7</v>
      </c>
      <c r="K26" s="38">
        <v>1.2E7</v>
      </c>
      <c r="L26" s="40">
        <f>VLOOKUP($A26,'Dataset '!$A:$I,5,0)</f>
        <v>43766</v>
      </c>
      <c r="M26" s="38">
        <f t="shared" si="2"/>
        <v>449621.2162</v>
      </c>
      <c r="N26" s="38">
        <f t="shared" si="3"/>
        <v>324324.3243</v>
      </c>
      <c r="O26" s="38">
        <f t="shared" ref="O26:P26" si="27">J26/I26</f>
        <v>1848442.778</v>
      </c>
      <c r="P26" s="41">
        <f t="shared" si="27"/>
        <v>0.7213278925</v>
      </c>
      <c r="Q26" s="37">
        <v>45.0</v>
      </c>
      <c r="R26" s="37">
        <v>0.0</v>
      </c>
      <c r="S26" s="37">
        <v>5.0</v>
      </c>
      <c r="T26" s="37">
        <v>6.0</v>
      </c>
      <c r="U26" s="37">
        <v>1.0</v>
      </c>
      <c r="V26" s="37">
        <v>2.0</v>
      </c>
      <c r="W26" s="25" t="s">
        <v>558</v>
      </c>
    </row>
    <row r="27">
      <c r="A27" s="25" t="s">
        <v>582</v>
      </c>
      <c r="B27" s="25" t="s">
        <v>52</v>
      </c>
      <c r="C27" s="36" t="s">
        <v>1850</v>
      </c>
      <c r="D27" s="37">
        <v>2017.0</v>
      </c>
      <c r="E27" s="38" t="s">
        <v>583</v>
      </c>
      <c r="F27" s="38" t="s">
        <v>59</v>
      </c>
      <c r="G27" s="39" t="str">
        <f>VLOOKUP(A27,'Dataset '!A:I,9,0)</f>
        <v>2 - 10</v>
      </c>
      <c r="H27" s="37">
        <v>9.0</v>
      </c>
      <c r="I27" s="37">
        <v>8.0</v>
      </c>
      <c r="J27" s="38">
        <v>130000.0</v>
      </c>
      <c r="K27" s="38">
        <v>130000.0</v>
      </c>
      <c r="L27" s="40">
        <f>VLOOKUP($A27,'Dataset '!$A:$I,5,0)</f>
        <v>43753</v>
      </c>
      <c r="M27" s="38">
        <f t="shared" si="2"/>
        <v>14444.44444</v>
      </c>
      <c r="N27" s="38">
        <f t="shared" si="3"/>
        <v>14444.44444</v>
      </c>
      <c r="O27" s="38">
        <f t="shared" ref="O27:P27" si="28">J27/I27</f>
        <v>16250</v>
      </c>
      <c r="P27" s="41">
        <f t="shared" si="28"/>
        <v>1</v>
      </c>
      <c r="Q27" s="37">
        <v>9.0</v>
      </c>
      <c r="R27" s="37">
        <v>0.0</v>
      </c>
      <c r="S27" s="37">
        <v>1.0</v>
      </c>
      <c r="T27" s="37">
        <v>1.0</v>
      </c>
      <c r="U27" s="37">
        <v>0.0</v>
      </c>
      <c r="V27" s="37">
        <v>1.0</v>
      </c>
      <c r="W27" s="25" t="s">
        <v>558</v>
      </c>
    </row>
    <row r="28">
      <c r="A28" s="25" t="s">
        <v>1220</v>
      </c>
      <c r="B28" s="25" t="s">
        <v>52</v>
      </c>
      <c r="C28" s="36" t="s">
        <v>1861</v>
      </c>
      <c r="D28" s="37">
        <v>2015.0</v>
      </c>
      <c r="E28" s="38" t="s">
        <v>866</v>
      </c>
      <c r="F28" s="38" t="s">
        <v>76</v>
      </c>
      <c r="G28" s="39" t="str">
        <f>VLOOKUP(A28,'Dataset '!A:I,9,0)</f>
        <v>11 - 50</v>
      </c>
      <c r="H28" s="37">
        <v>28.0</v>
      </c>
      <c r="I28" s="37">
        <v>10.0</v>
      </c>
      <c r="J28" s="38">
        <v>2200000.0</v>
      </c>
      <c r="K28" s="38">
        <v>2200000.0</v>
      </c>
      <c r="L28" s="40">
        <f>VLOOKUP($A28,'Dataset '!$A:$I,5,0)</f>
        <v>43983</v>
      </c>
      <c r="M28" s="38">
        <f t="shared" si="2"/>
        <v>78571.42857</v>
      </c>
      <c r="N28" s="38">
        <f t="shared" si="3"/>
        <v>78571.42857</v>
      </c>
      <c r="O28" s="38">
        <f t="shared" ref="O28:P28" si="29">J28/I28</f>
        <v>220000</v>
      </c>
      <c r="P28" s="41">
        <f t="shared" si="29"/>
        <v>1</v>
      </c>
      <c r="Q28" s="37">
        <v>14.0</v>
      </c>
      <c r="R28" s="37">
        <v>0.0</v>
      </c>
      <c r="S28" s="37">
        <v>1.0</v>
      </c>
      <c r="T28" s="37">
        <v>1.0</v>
      </c>
      <c r="U28" s="37">
        <v>1.0</v>
      </c>
      <c r="V28" s="37">
        <v>0.0</v>
      </c>
      <c r="W28" s="25" t="s">
        <v>558</v>
      </c>
    </row>
    <row r="29">
      <c r="A29" s="25" t="s">
        <v>868</v>
      </c>
      <c r="B29" s="25" t="s">
        <v>52</v>
      </c>
      <c r="C29" s="36" t="s">
        <v>1872</v>
      </c>
      <c r="D29" s="37">
        <v>2007.0</v>
      </c>
      <c r="E29" s="38" t="s">
        <v>869</v>
      </c>
      <c r="F29" s="38" t="s">
        <v>38</v>
      </c>
      <c r="G29" s="39" t="str">
        <f>VLOOKUP(A29,'Dataset '!A:I,9,0)</f>
        <v>11 - 50</v>
      </c>
      <c r="H29" s="37">
        <v>54.0</v>
      </c>
      <c r="I29" s="37">
        <v>18.0</v>
      </c>
      <c r="J29" s="38">
        <v>2200000.0</v>
      </c>
      <c r="K29" s="38">
        <v>2200000.0</v>
      </c>
      <c r="L29" s="40">
        <f>VLOOKUP($A29,'Dataset '!$A:$I,5,0)</f>
        <v>43466</v>
      </c>
      <c r="M29" s="38">
        <f t="shared" si="2"/>
        <v>40740.74074</v>
      </c>
      <c r="N29" s="38">
        <f t="shared" si="3"/>
        <v>40740.74074</v>
      </c>
      <c r="O29" s="38">
        <f t="shared" ref="O29:P29" si="30">J29/I29</f>
        <v>122222.2222</v>
      </c>
      <c r="P29" s="41">
        <f t="shared" si="30"/>
        <v>1</v>
      </c>
      <c r="Q29" s="37">
        <v>16.0</v>
      </c>
      <c r="R29" s="37">
        <v>0.0</v>
      </c>
      <c r="S29" s="37">
        <v>0.0</v>
      </c>
      <c r="T29" s="37">
        <v>0.0</v>
      </c>
      <c r="U29" s="37">
        <v>1.0</v>
      </c>
      <c r="V29" s="37">
        <v>2.0</v>
      </c>
      <c r="W29" s="25" t="s">
        <v>558</v>
      </c>
    </row>
    <row r="30">
      <c r="A30" s="25" t="s">
        <v>871</v>
      </c>
      <c r="B30" s="25" t="s">
        <v>52</v>
      </c>
      <c r="C30" s="36" t="s">
        <v>1259</v>
      </c>
      <c r="D30" s="37">
        <v>2021.0</v>
      </c>
      <c r="E30" s="38" t="s">
        <v>872</v>
      </c>
      <c r="F30" s="38" t="s">
        <v>59</v>
      </c>
      <c r="G30" s="39" t="str">
        <f>VLOOKUP(A30,'Dataset '!A:I,9,0)</f>
        <v>2 - 10</v>
      </c>
      <c r="H30" s="37">
        <v>4.0</v>
      </c>
      <c r="I30" s="37">
        <v>4.0</v>
      </c>
      <c r="J30" s="38">
        <v>2400000.0</v>
      </c>
      <c r="K30" s="38">
        <v>2400000.0</v>
      </c>
      <c r="L30" s="40">
        <f>VLOOKUP($A30,'Dataset '!$A:$I,5,0)</f>
        <v>45457</v>
      </c>
      <c r="M30" s="38">
        <f t="shared" si="2"/>
        <v>600000</v>
      </c>
      <c r="N30" s="38">
        <f t="shared" si="3"/>
        <v>600000</v>
      </c>
      <c r="O30" s="38">
        <f t="shared" ref="O30:P30" si="31">J30/I30</f>
        <v>600000</v>
      </c>
      <c r="P30" s="41">
        <f t="shared" si="31"/>
        <v>1</v>
      </c>
      <c r="Q30" s="37">
        <v>8.0</v>
      </c>
      <c r="R30" s="37">
        <v>1.0</v>
      </c>
      <c r="S30" s="37">
        <v>1.0</v>
      </c>
      <c r="T30" s="37">
        <v>2.0</v>
      </c>
      <c r="U30" s="37">
        <v>0.0</v>
      </c>
      <c r="V30" s="37">
        <v>0.0</v>
      </c>
      <c r="W30" s="25" t="s">
        <v>569</v>
      </c>
    </row>
    <row r="31">
      <c r="A31" s="25" t="s">
        <v>614</v>
      </c>
      <c r="B31" s="25" t="s">
        <v>48</v>
      </c>
      <c r="C31" s="36" t="s">
        <v>616</v>
      </c>
      <c r="D31" s="37">
        <v>2024.0</v>
      </c>
      <c r="E31" s="38" t="s">
        <v>615</v>
      </c>
      <c r="F31" s="38" t="s">
        <v>59</v>
      </c>
      <c r="G31" s="39" t="str">
        <f>VLOOKUP(A31,'Dataset '!A:I,9,0)</f>
        <v>2 - 10</v>
      </c>
      <c r="H31" s="37">
        <v>10.0</v>
      </c>
      <c r="I31" s="37">
        <v>1.0</v>
      </c>
      <c r="J31" s="38">
        <v>300000.0</v>
      </c>
      <c r="K31" s="38">
        <v>250000.0</v>
      </c>
      <c r="L31" s="40">
        <f>VLOOKUP($A31,'Dataset '!$A:$I,5,0)</f>
        <v>45667</v>
      </c>
      <c r="M31" s="38">
        <f t="shared" si="2"/>
        <v>30000</v>
      </c>
      <c r="N31" s="38">
        <f t="shared" si="3"/>
        <v>25000</v>
      </c>
      <c r="O31" s="38">
        <f t="shared" ref="O31:P31" si="32">J31/I31</f>
        <v>300000</v>
      </c>
      <c r="P31" s="41">
        <f t="shared" si="32"/>
        <v>0.8333333333</v>
      </c>
      <c r="Q31" s="37">
        <v>29.0</v>
      </c>
      <c r="R31" s="37">
        <v>1.0</v>
      </c>
      <c r="S31" s="37">
        <v>1.0</v>
      </c>
      <c r="T31" s="37">
        <v>1.0</v>
      </c>
      <c r="U31" s="37">
        <v>2.0</v>
      </c>
      <c r="V31" s="37">
        <v>1.0</v>
      </c>
      <c r="W31" s="25" t="s">
        <v>558</v>
      </c>
    </row>
    <row r="32">
      <c r="A32" s="25" t="s">
        <v>962</v>
      </c>
      <c r="B32" s="25" t="s">
        <v>48</v>
      </c>
      <c r="C32" s="36" t="s">
        <v>1327</v>
      </c>
      <c r="D32" s="37">
        <v>2021.0</v>
      </c>
      <c r="E32" s="38" t="s">
        <v>472</v>
      </c>
      <c r="F32" s="38" t="s">
        <v>59</v>
      </c>
      <c r="G32" s="39" t="str">
        <f>VLOOKUP(A32,'Dataset '!A:I,9,0)</f>
        <v>11 - 50</v>
      </c>
      <c r="H32" s="37">
        <v>49.0</v>
      </c>
      <c r="I32" s="37">
        <v>4.0</v>
      </c>
      <c r="J32" s="38">
        <v>3125000.0</v>
      </c>
      <c r="K32" s="38">
        <v>3000000.0</v>
      </c>
      <c r="L32" s="40">
        <f>VLOOKUP($A32,'Dataset '!$A:$I,5,0)</f>
        <v>45162</v>
      </c>
      <c r="M32" s="25" t="s">
        <v>1891</v>
      </c>
      <c r="N32" s="38">
        <f t="shared" si="3"/>
        <v>61224.4898</v>
      </c>
      <c r="O32" s="38">
        <f t="shared" ref="O32:P32" si="33">J32/I32</f>
        <v>781250</v>
      </c>
      <c r="P32" s="41">
        <f t="shared" si="33"/>
        <v>0.96</v>
      </c>
      <c r="Q32" s="37">
        <v>27.0</v>
      </c>
      <c r="R32" s="37">
        <v>0.0</v>
      </c>
      <c r="S32" s="37">
        <v>2.0</v>
      </c>
      <c r="T32" s="37">
        <v>0.0</v>
      </c>
      <c r="U32" s="37">
        <v>5.0</v>
      </c>
      <c r="V32" s="37">
        <v>5.0</v>
      </c>
      <c r="W32" s="25" t="s">
        <v>558</v>
      </c>
    </row>
    <row r="33">
      <c r="A33" s="25" t="s">
        <v>964</v>
      </c>
      <c r="B33" s="25" t="s">
        <v>52</v>
      </c>
      <c r="C33" s="36" t="s">
        <v>1892</v>
      </c>
      <c r="D33" s="37">
        <v>2020.0</v>
      </c>
      <c r="E33" s="38" t="s">
        <v>965</v>
      </c>
      <c r="F33" s="38" t="s">
        <v>38</v>
      </c>
      <c r="G33" s="39" t="str">
        <f>VLOOKUP(A33,'Dataset '!A:I,9,0)</f>
        <v>11 - 50</v>
      </c>
      <c r="H33" s="37">
        <v>27.0</v>
      </c>
      <c r="I33" s="37">
        <v>5.0</v>
      </c>
      <c r="J33" s="38">
        <v>6970906.0</v>
      </c>
      <c r="K33" s="38">
        <v>3000000.0</v>
      </c>
      <c r="L33" s="40">
        <f>VLOOKUP($A33,'Dataset '!$A:$I,5,0)</f>
        <v>45602</v>
      </c>
      <c r="M33" s="25" t="s">
        <v>1895</v>
      </c>
      <c r="N33" s="38">
        <f t="shared" si="3"/>
        <v>111111.1111</v>
      </c>
      <c r="O33" s="38">
        <f t="shared" ref="O33:P33" si="34">J33/I33</f>
        <v>1394181.2</v>
      </c>
      <c r="P33" s="41">
        <f t="shared" si="34"/>
        <v>0.4303601282</v>
      </c>
      <c r="Q33" s="37">
        <v>14.0</v>
      </c>
      <c r="R33" s="37">
        <v>1.0</v>
      </c>
      <c r="S33" s="37">
        <v>0.0</v>
      </c>
      <c r="T33" s="37">
        <v>0.0</v>
      </c>
      <c r="U33" s="37">
        <v>1.0</v>
      </c>
      <c r="V33" s="37">
        <v>0.0</v>
      </c>
      <c r="W33" s="25" t="s">
        <v>569</v>
      </c>
    </row>
    <row r="34">
      <c r="A34" s="25" t="s">
        <v>976</v>
      </c>
      <c r="B34" s="25" t="s">
        <v>52</v>
      </c>
      <c r="C34" s="36" t="s">
        <v>1896</v>
      </c>
      <c r="D34" s="37">
        <v>2018.0</v>
      </c>
      <c r="E34" s="38" t="s">
        <v>977</v>
      </c>
      <c r="F34" s="38" t="s">
        <v>59</v>
      </c>
      <c r="G34" s="39" t="str">
        <f>VLOOKUP(A34,'Dataset '!A:I,9,0)</f>
        <v>11 - 50</v>
      </c>
      <c r="H34" s="37">
        <v>30.0</v>
      </c>
      <c r="I34" s="37">
        <v>7.0</v>
      </c>
      <c r="J34" s="38">
        <v>4904500.0</v>
      </c>
      <c r="K34" s="38">
        <v>3300000.0</v>
      </c>
      <c r="L34" s="40">
        <f>VLOOKUP($A34,'Dataset '!$A:$I,5,0)</f>
        <v>44927</v>
      </c>
      <c r="M34" s="25" t="s">
        <v>1899</v>
      </c>
      <c r="N34" s="38">
        <f t="shared" si="3"/>
        <v>110000</v>
      </c>
      <c r="O34" s="38">
        <f t="shared" ref="O34:P34" si="35">J34/I34</f>
        <v>700642.8571</v>
      </c>
      <c r="P34" s="41">
        <f t="shared" si="35"/>
        <v>0.6728514629</v>
      </c>
      <c r="Q34" s="37">
        <v>12.0</v>
      </c>
      <c r="R34" s="37">
        <v>1.0</v>
      </c>
      <c r="S34" s="37">
        <v>0.0</v>
      </c>
      <c r="T34" s="37">
        <v>0.0</v>
      </c>
      <c r="U34" s="37">
        <v>1.0</v>
      </c>
      <c r="V34" s="37">
        <v>1.0</v>
      </c>
      <c r="W34" s="25" t="s">
        <v>558</v>
      </c>
    </row>
    <row r="35">
      <c r="A35" s="25" t="s">
        <v>981</v>
      </c>
      <c r="B35" s="25" t="s">
        <v>48</v>
      </c>
      <c r="C35" s="36" t="s">
        <v>1420</v>
      </c>
      <c r="D35" s="36" t="s">
        <v>1420</v>
      </c>
      <c r="E35" s="38" t="s">
        <v>982</v>
      </c>
      <c r="F35" s="38" t="s">
        <v>59</v>
      </c>
      <c r="G35" s="39" t="str">
        <f>VLOOKUP(A35,'Dataset '!A:I,9,0)</f>
        <v>11 - 50</v>
      </c>
      <c r="H35" s="37">
        <v>42.0</v>
      </c>
      <c r="I35" s="42"/>
      <c r="J35" s="38">
        <v>3400000.0</v>
      </c>
      <c r="K35" s="38">
        <v>3400000.0</v>
      </c>
      <c r="L35" s="40">
        <f>VLOOKUP($A35,'Dataset '!$A:$I,5,0)</f>
        <v>45945</v>
      </c>
      <c r="M35" s="25" t="s">
        <v>1900</v>
      </c>
      <c r="N35" s="38">
        <f t="shared" si="3"/>
        <v>80952.38095</v>
      </c>
      <c r="O35" s="25" t="str">
        <f t="shared" ref="O35:P35" si="36">J35/I35</f>
        <v>#DIV/0!</v>
      </c>
      <c r="P35" s="41">
        <f t="shared" si="36"/>
        <v>1</v>
      </c>
      <c r="Q35" s="37">
        <v>19.0</v>
      </c>
      <c r="R35" s="37">
        <v>0.0</v>
      </c>
      <c r="S35" s="37">
        <v>1.0</v>
      </c>
      <c r="T35" s="37">
        <v>1.0</v>
      </c>
      <c r="U35" s="37">
        <v>0.0</v>
      </c>
      <c r="V35" s="37">
        <v>3.0</v>
      </c>
      <c r="W35" s="25" t="s">
        <v>558</v>
      </c>
    </row>
    <row r="36">
      <c r="A36" s="25" t="s">
        <v>1004</v>
      </c>
      <c r="B36" s="25" t="s">
        <v>52</v>
      </c>
      <c r="C36" s="36" t="s">
        <v>1465</v>
      </c>
      <c r="D36" s="37">
        <v>2023.0</v>
      </c>
      <c r="E36" s="38" t="s">
        <v>1005</v>
      </c>
      <c r="F36" s="38" t="s">
        <v>38</v>
      </c>
      <c r="G36" s="39" t="str">
        <f>VLOOKUP(A36,'Dataset '!A:I,9,0)</f>
        <v>11 - 50</v>
      </c>
      <c r="H36" s="37">
        <v>15.0</v>
      </c>
      <c r="I36" s="37">
        <v>2.0</v>
      </c>
      <c r="J36" s="38">
        <v>2.0682E8</v>
      </c>
      <c r="K36" s="38">
        <v>3.0E7</v>
      </c>
      <c r="L36" s="40">
        <f>VLOOKUP($A36,'Dataset '!$A:$I,5,0)</f>
        <v>45931</v>
      </c>
      <c r="M36" s="25" t="s">
        <v>1907</v>
      </c>
      <c r="N36" s="38">
        <f t="shared" si="3"/>
        <v>2000000</v>
      </c>
      <c r="O36" s="38">
        <f t="shared" ref="O36:P36" si="37">J36/I36</f>
        <v>103410000</v>
      </c>
      <c r="P36" s="41">
        <f t="shared" si="37"/>
        <v>0.1450536699</v>
      </c>
      <c r="Q36" s="37">
        <v>16.0</v>
      </c>
      <c r="R36" s="37">
        <v>1.0</v>
      </c>
      <c r="S36" s="37">
        <v>3.0</v>
      </c>
      <c r="T36" s="37">
        <v>1.0</v>
      </c>
      <c r="U36" s="37">
        <v>1.0</v>
      </c>
      <c r="V36" s="37">
        <v>0.0</v>
      </c>
      <c r="W36" s="25" t="s">
        <v>569</v>
      </c>
    </row>
    <row r="37">
      <c r="A37" s="25" t="s">
        <v>1050</v>
      </c>
      <c r="B37" s="25" t="s">
        <v>52</v>
      </c>
      <c r="C37" s="36" t="s">
        <v>1468</v>
      </c>
      <c r="D37" s="37">
        <v>2021.0</v>
      </c>
      <c r="E37" s="38" t="s">
        <v>1051</v>
      </c>
      <c r="F37" s="38" t="s">
        <v>59</v>
      </c>
      <c r="G37" s="39" t="str">
        <f>VLOOKUP(A37,'Dataset '!A:I,9,0)</f>
        <v>11 - 50</v>
      </c>
      <c r="H37" s="37">
        <v>11.0</v>
      </c>
      <c r="I37" s="37">
        <v>4.0</v>
      </c>
      <c r="J37" s="38">
        <v>4300000.0</v>
      </c>
      <c r="K37" s="38">
        <v>4300000.0</v>
      </c>
      <c r="L37" s="40">
        <f>VLOOKUP($A37,'Dataset '!$A:$I,5,0)</f>
        <v>44762</v>
      </c>
      <c r="M37" s="25" t="s">
        <v>1910</v>
      </c>
      <c r="N37" s="38">
        <f t="shared" si="3"/>
        <v>390909.0909</v>
      </c>
      <c r="O37" s="38">
        <f t="shared" ref="O37:P37" si="38">J37/I37</f>
        <v>1075000</v>
      </c>
      <c r="P37" s="41">
        <f t="shared" si="38"/>
        <v>1</v>
      </c>
      <c r="Q37" s="37">
        <v>13.0</v>
      </c>
      <c r="R37" s="37">
        <v>0.0</v>
      </c>
      <c r="S37" s="37">
        <v>1.0</v>
      </c>
      <c r="T37" s="37">
        <v>1.0</v>
      </c>
      <c r="U37" s="37">
        <v>1.0</v>
      </c>
      <c r="V37" s="37">
        <v>1.0</v>
      </c>
      <c r="W37" s="25" t="s">
        <v>569</v>
      </c>
    </row>
    <row r="38">
      <c r="A38" s="25" t="s">
        <v>1065</v>
      </c>
      <c r="B38" s="25" t="s">
        <v>48</v>
      </c>
      <c r="C38" s="36" t="s">
        <v>1493</v>
      </c>
      <c r="D38" s="37">
        <v>2026.0</v>
      </c>
      <c r="E38" s="38" t="s">
        <v>1066</v>
      </c>
      <c r="F38" s="38" t="s">
        <v>59</v>
      </c>
      <c r="G38" s="39" t="str">
        <f>VLOOKUP(A38,'Dataset '!A:I,9,0)</f>
        <v>11 - 50</v>
      </c>
      <c r="H38" s="37">
        <v>25.0</v>
      </c>
      <c r="I38" s="37">
        <v>-1.0</v>
      </c>
      <c r="J38" s="38">
        <v>5100000.0</v>
      </c>
      <c r="K38" s="38">
        <v>4600000.0</v>
      </c>
      <c r="L38" s="40">
        <f>VLOOKUP($A38,'Dataset '!$A:$I,5,0)</f>
        <v>46056</v>
      </c>
      <c r="M38" s="25" t="s">
        <v>1912</v>
      </c>
      <c r="N38" s="38">
        <f t="shared" si="3"/>
        <v>184000</v>
      </c>
      <c r="O38" s="38">
        <f t="shared" ref="O38:P38" si="39">J38/I38</f>
        <v>-5100000</v>
      </c>
      <c r="P38" s="41">
        <f t="shared" si="39"/>
        <v>0.9019607843</v>
      </c>
      <c r="Q38" s="37">
        <v>6.0</v>
      </c>
      <c r="R38" s="37">
        <v>0.0</v>
      </c>
      <c r="S38" s="37">
        <v>1.0</v>
      </c>
      <c r="T38" s="37">
        <v>0.0</v>
      </c>
      <c r="U38" s="37">
        <v>0.0</v>
      </c>
      <c r="V38" s="37">
        <v>0.0</v>
      </c>
      <c r="W38" s="25" t="s">
        <v>550</v>
      </c>
    </row>
    <row r="39">
      <c r="A39" s="25" t="s">
        <v>651</v>
      </c>
      <c r="B39" s="25" t="s">
        <v>48</v>
      </c>
      <c r="C39" s="36" t="s">
        <v>1914</v>
      </c>
      <c r="D39" s="37">
        <v>2019.0</v>
      </c>
      <c r="E39" s="38" t="s">
        <v>652</v>
      </c>
      <c r="F39" s="38" t="s">
        <v>59</v>
      </c>
      <c r="G39" s="39" t="str">
        <f>VLOOKUP(A39,'Dataset '!A:I,9,0)</f>
        <v>11 - 50</v>
      </c>
      <c r="H39" s="37">
        <v>24.0</v>
      </c>
      <c r="I39" s="37">
        <v>6.0</v>
      </c>
      <c r="J39" s="38">
        <v>735093.0</v>
      </c>
      <c r="K39" s="38">
        <v>400000.0</v>
      </c>
      <c r="L39" s="40">
        <f>VLOOKUP($A39,'Dataset '!$A:$I,5,0)</f>
        <v>43831</v>
      </c>
      <c r="M39" s="25" t="s">
        <v>1920</v>
      </c>
      <c r="N39" s="38">
        <f t="shared" si="3"/>
        <v>16666.66667</v>
      </c>
      <c r="O39" s="38">
        <f t="shared" ref="O39:P39" si="40">J39/I39</f>
        <v>122515.5</v>
      </c>
      <c r="P39" s="41">
        <f t="shared" si="40"/>
        <v>0.5441488356</v>
      </c>
      <c r="Q39" s="37">
        <v>10.0</v>
      </c>
      <c r="R39" s="37">
        <v>0.0</v>
      </c>
      <c r="S39" s="37">
        <v>1.0</v>
      </c>
      <c r="T39" s="37">
        <v>0.0</v>
      </c>
      <c r="U39" s="37">
        <v>2.0</v>
      </c>
      <c r="V39" s="37">
        <v>0.0</v>
      </c>
      <c r="W39" s="25" t="s">
        <v>558</v>
      </c>
    </row>
    <row r="40">
      <c r="A40" s="25" t="s">
        <v>1094</v>
      </c>
      <c r="B40" s="25" t="s">
        <v>48</v>
      </c>
      <c r="C40" s="36" t="s">
        <v>1520</v>
      </c>
      <c r="D40" s="37">
        <v>2023.0</v>
      </c>
      <c r="E40" s="38" t="s">
        <v>1096</v>
      </c>
      <c r="F40" s="38" t="s">
        <v>59</v>
      </c>
      <c r="G40" s="39" t="str">
        <f>VLOOKUP(A40,'Dataset '!A:I,9,0)</f>
        <v>11 - 50</v>
      </c>
      <c r="H40" s="37">
        <v>37.0</v>
      </c>
      <c r="I40" s="37">
        <v>2.0</v>
      </c>
      <c r="J40" s="38">
        <v>1.0116153E7</v>
      </c>
      <c r="K40" s="38">
        <v>5000000.0</v>
      </c>
      <c r="L40" s="40">
        <f>VLOOKUP($A40,'Dataset '!$A:$I,5,0)</f>
        <v>46036</v>
      </c>
      <c r="M40" s="25" t="s">
        <v>1924</v>
      </c>
      <c r="N40" s="38">
        <f t="shared" si="3"/>
        <v>135135.1351</v>
      </c>
      <c r="O40" s="38">
        <f t="shared" ref="O40:P40" si="41">J40/I40</f>
        <v>5058076.5</v>
      </c>
      <c r="P40" s="41">
        <f t="shared" si="41"/>
        <v>0.4942590331</v>
      </c>
      <c r="Q40" s="37">
        <v>12.0</v>
      </c>
      <c r="R40" s="37">
        <v>0.0</v>
      </c>
      <c r="S40" s="37">
        <v>0.0</v>
      </c>
      <c r="T40" s="37">
        <v>0.0</v>
      </c>
      <c r="U40" s="37">
        <v>1.0</v>
      </c>
      <c r="V40" s="37">
        <v>1.0</v>
      </c>
      <c r="W40" s="25" t="s">
        <v>595</v>
      </c>
    </row>
    <row r="41">
      <c r="A41" s="25" t="s">
        <v>678</v>
      </c>
      <c r="B41" s="25" t="s">
        <v>52</v>
      </c>
      <c r="C41" s="36" t="s">
        <v>683</v>
      </c>
      <c r="D41" s="37">
        <v>2023.0</v>
      </c>
      <c r="E41" s="38" t="s">
        <v>682</v>
      </c>
      <c r="F41" s="38" t="s">
        <v>76</v>
      </c>
      <c r="G41" s="39" t="str">
        <f>VLOOKUP(A41,'Dataset '!A:I,9,0)</f>
        <v>2 - 10</v>
      </c>
      <c r="H41" s="37">
        <v>10.0</v>
      </c>
      <c r="I41" s="37">
        <v>2.0</v>
      </c>
      <c r="J41" s="38">
        <v>500000.0</v>
      </c>
      <c r="K41" s="38">
        <v>500000.0</v>
      </c>
      <c r="L41" s="40">
        <f>VLOOKUP($A41,'Dataset '!$A:$I,5,0)</f>
        <v>45311</v>
      </c>
      <c r="M41" s="25" t="s">
        <v>1925</v>
      </c>
      <c r="N41" s="38">
        <f t="shared" si="3"/>
        <v>50000</v>
      </c>
      <c r="O41" s="38">
        <f t="shared" ref="O41:P41" si="42">J41/I41</f>
        <v>250000</v>
      </c>
      <c r="P41" s="41">
        <f t="shared" si="42"/>
        <v>1</v>
      </c>
      <c r="Q41" s="37">
        <v>10.0</v>
      </c>
      <c r="R41" s="37">
        <v>0.0</v>
      </c>
      <c r="S41" s="37">
        <v>1.0</v>
      </c>
      <c r="T41" s="37">
        <v>0.0</v>
      </c>
      <c r="U41" s="37">
        <v>0.0</v>
      </c>
      <c r="V41" s="37">
        <v>2.0</v>
      </c>
      <c r="W41" s="25" t="s">
        <v>595</v>
      </c>
    </row>
    <row r="42">
      <c r="A42" s="25" t="s">
        <v>527</v>
      </c>
      <c r="B42" s="25" t="s">
        <v>52</v>
      </c>
      <c r="C42" s="36" t="s">
        <v>534</v>
      </c>
      <c r="D42" s="37">
        <v>2021.0</v>
      </c>
      <c r="E42" s="38" t="s">
        <v>528</v>
      </c>
      <c r="F42" s="38" t="s">
        <v>59</v>
      </c>
      <c r="G42" s="39" t="str">
        <f>VLOOKUP(A42,'Dataset '!A:I,9,0)</f>
        <v>11 - 50</v>
      </c>
      <c r="H42" s="37">
        <v>1.0</v>
      </c>
      <c r="I42" s="37">
        <v>4.0</v>
      </c>
      <c r="J42" s="38">
        <v>103000.0</v>
      </c>
      <c r="K42" s="38">
        <v>65000.0</v>
      </c>
      <c r="L42" s="40">
        <f>VLOOKUP($A42,'Dataset '!$A:$I,5,0)</f>
        <v>45168</v>
      </c>
      <c r="M42" s="25" t="s">
        <v>1928</v>
      </c>
      <c r="N42" s="38">
        <f t="shared" si="3"/>
        <v>65000</v>
      </c>
      <c r="O42" s="38">
        <f t="shared" ref="O42:P42" si="43">J42/I42</f>
        <v>25750</v>
      </c>
      <c r="P42" s="41">
        <f t="shared" si="43"/>
        <v>0.6310679612</v>
      </c>
      <c r="Q42" s="37">
        <v>6.0</v>
      </c>
      <c r="R42" s="37">
        <v>0.0</v>
      </c>
      <c r="S42" s="37">
        <v>1.0</v>
      </c>
      <c r="T42" s="37">
        <v>0.0</v>
      </c>
      <c r="U42" s="37">
        <v>0.0</v>
      </c>
      <c r="V42" s="37">
        <v>0.0</v>
      </c>
      <c r="W42" s="25" t="s">
        <v>550</v>
      </c>
    </row>
    <row r="43">
      <c r="A43" s="25" t="s">
        <v>1171</v>
      </c>
      <c r="B43" s="25" t="s">
        <v>52</v>
      </c>
      <c r="C43" s="36" t="s">
        <v>1641</v>
      </c>
      <c r="D43" s="37">
        <v>2016.0</v>
      </c>
      <c r="E43" s="38" t="s">
        <v>1172</v>
      </c>
      <c r="F43" s="38" t="s">
        <v>76</v>
      </c>
      <c r="G43" s="39" t="str">
        <f>VLOOKUP(A43,'Dataset '!A:I,9,0)</f>
        <v>11 - 50</v>
      </c>
      <c r="H43" s="37">
        <v>33.0</v>
      </c>
      <c r="I43" s="37">
        <v>9.0</v>
      </c>
      <c r="J43" s="38">
        <v>1.6048983E7</v>
      </c>
      <c r="K43" s="38">
        <v>7150000.0</v>
      </c>
      <c r="L43" s="40">
        <f>VLOOKUP($A43,'Dataset '!$A:$I,5,0)</f>
        <v>44845</v>
      </c>
      <c r="M43" s="25" t="s">
        <v>1930</v>
      </c>
      <c r="N43" s="38">
        <f t="shared" si="3"/>
        <v>216666.6667</v>
      </c>
      <c r="O43" s="38">
        <f t="shared" ref="O43:P43" si="44">J43/I43</f>
        <v>1783220.333</v>
      </c>
      <c r="P43" s="41">
        <f t="shared" si="44"/>
        <v>0.4455110956</v>
      </c>
      <c r="Q43" s="37">
        <v>15.0</v>
      </c>
      <c r="R43" s="37">
        <v>1.0</v>
      </c>
      <c r="S43" s="37">
        <v>1.0</v>
      </c>
      <c r="T43" s="37">
        <v>1.0</v>
      </c>
      <c r="U43" s="37">
        <v>0.0</v>
      </c>
      <c r="V43" s="37">
        <v>2.0</v>
      </c>
      <c r="W43" s="25" t="s">
        <v>569</v>
      </c>
    </row>
    <row r="44">
      <c r="A44" s="25" t="s">
        <v>757</v>
      </c>
      <c r="B44" s="25" t="s">
        <v>48</v>
      </c>
      <c r="C44" s="36" t="s">
        <v>761</v>
      </c>
      <c r="D44" s="37">
        <v>2022.0</v>
      </c>
      <c r="E44" s="38" t="s">
        <v>759</v>
      </c>
      <c r="F44" s="38" t="s">
        <v>59</v>
      </c>
      <c r="G44" s="39" t="str">
        <f>VLOOKUP(A44,'Dataset '!A:I,9,0)</f>
        <v>11 - 50</v>
      </c>
      <c r="H44" s="37">
        <v>51.0</v>
      </c>
      <c r="I44" s="37">
        <v>3.0</v>
      </c>
      <c r="J44" s="38">
        <v>1450000.0</v>
      </c>
      <c r="K44" s="38">
        <v>700000.0</v>
      </c>
      <c r="L44" s="40">
        <f>VLOOKUP($A44,'Dataset '!$A:$I,5,0)</f>
        <v>45931</v>
      </c>
      <c r="M44" s="25" t="s">
        <v>1932</v>
      </c>
      <c r="N44" s="38">
        <f t="shared" si="3"/>
        <v>13725.4902</v>
      </c>
      <c r="O44" s="38">
        <f t="shared" ref="O44:P44" si="45">J44/I44</f>
        <v>483333.3333</v>
      </c>
      <c r="P44" s="41">
        <f t="shared" si="45"/>
        <v>0.4827586207</v>
      </c>
      <c r="Q44" s="37">
        <v>14.0</v>
      </c>
      <c r="R44" s="37">
        <v>0.0</v>
      </c>
      <c r="S44" s="37">
        <v>1.0</v>
      </c>
      <c r="T44" s="37">
        <v>0.0</v>
      </c>
      <c r="U44" s="37">
        <v>2.0</v>
      </c>
      <c r="V44" s="37">
        <v>2.0</v>
      </c>
      <c r="W44" s="25" t="s">
        <v>595</v>
      </c>
    </row>
    <row r="45">
      <c r="A45" s="25" t="s">
        <v>798</v>
      </c>
      <c r="B45" s="25" t="s">
        <v>52</v>
      </c>
      <c r="C45" s="36" t="s">
        <v>801</v>
      </c>
      <c r="D45" s="37">
        <v>2017.0</v>
      </c>
      <c r="E45" s="38" t="s">
        <v>799</v>
      </c>
      <c r="F45" s="38" t="s">
        <v>59</v>
      </c>
      <c r="G45" s="39" t="str">
        <f>VLOOKUP(A45,'Dataset '!A:I,9,0)</f>
        <v>2 - 10</v>
      </c>
      <c r="H45" s="37">
        <v>7.0</v>
      </c>
      <c r="I45" s="37">
        <v>8.0</v>
      </c>
      <c r="J45" s="38">
        <v>1000000.0</v>
      </c>
      <c r="K45" s="38">
        <v>750000.0</v>
      </c>
      <c r="L45" s="40">
        <f>VLOOKUP($A45,'Dataset '!$A:$I,5,0)</f>
        <v>43861</v>
      </c>
      <c r="M45" s="25" t="s">
        <v>1935</v>
      </c>
      <c r="N45" s="38">
        <f t="shared" si="3"/>
        <v>107142.8571</v>
      </c>
      <c r="O45" s="38">
        <f t="shared" ref="O45:P45" si="46">J45/I45</f>
        <v>125000</v>
      </c>
      <c r="P45" s="41">
        <f t="shared" si="46"/>
        <v>0.75</v>
      </c>
      <c r="Q45" s="37">
        <v>12.0</v>
      </c>
      <c r="R45" s="37">
        <v>0.0</v>
      </c>
      <c r="S45" s="37">
        <v>0.0</v>
      </c>
      <c r="T45" s="37">
        <v>0.0</v>
      </c>
      <c r="U45" s="37">
        <v>1.0</v>
      </c>
      <c r="V45" s="37">
        <v>1.0</v>
      </c>
      <c r="W45" s="25" t="s">
        <v>595</v>
      </c>
    </row>
    <row r="46">
      <c r="A46" s="25" t="s">
        <v>834</v>
      </c>
      <c r="B46" s="25" t="s">
        <v>52</v>
      </c>
      <c r="C46" s="36" t="s">
        <v>838</v>
      </c>
      <c r="D46" s="37">
        <v>2020.0</v>
      </c>
      <c r="E46" s="38" t="s">
        <v>835</v>
      </c>
      <c r="F46" s="38" t="s">
        <v>59</v>
      </c>
      <c r="G46" s="39" t="str">
        <f>VLOOKUP(A46,'Dataset '!A:I,9,0)</f>
        <v>11 - 50</v>
      </c>
      <c r="H46" s="25">
        <v>30.0</v>
      </c>
      <c r="I46" s="37">
        <v>5.0</v>
      </c>
      <c r="J46" s="38">
        <v>875000.0</v>
      </c>
      <c r="K46" s="38">
        <v>875000.0</v>
      </c>
      <c r="L46" s="40">
        <f>VLOOKUP($A46,'Dataset '!$A:$I,5,0)</f>
        <v>44091</v>
      </c>
      <c r="M46" s="25" t="s">
        <v>1938</v>
      </c>
      <c r="N46" s="38">
        <f t="shared" si="3"/>
        <v>29166.66667</v>
      </c>
      <c r="O46" s="38">
        <f t="shared" ref="O46:P46" si="47">J46/I46</f>
        <v>175000</v>
      </c>
      <c r="P46" s="41">
        <f t="shared" si="47"/>
        <v>1</v>
      </c>
      <c r="Q46" s="37">
        <v>0.0</v>
      </c>
      <c r="R46" s="37">
        <v>0.0</v>
      </c>
      <c r="S46" s="37">
        <v>0.0</v>
      </c>
      <c r="T46" s="37">
        <v>0.0</v>
      </c>
      <c r="U46" s="37">
        <v>0.0</v>
      </c>
      <c r="V46" s="37">
        <v>0.0</v>
      </c>
      <c r="W46" s="25" t="s">
        <v>550</v>
      </c>
    </row>
    <row r="47">
      <c r="A47" s="25" t="s">
        <v>1226</v>
      </c>
      <c r="B47" s="25" t="s">
        <v>48</v>
      </c>
      <c r="C47" s="36" t="s">
        <v>1704</v>
      </c>
      <c r="D47" s="37">
        <v>2025.0</v>
      </c>
      <c r="E47" s="38" t="s">
        <v>1227</v>
      </c>
      <c r="F47" s="38" t="s">
        <v>59</v>
      </c>
      <c r="G47" s="39" t="str">
        <f>VLOOKUP(A47,'Dataset '!A:I,9,0)</f>
        <v>11 - 50</v>
      </c>
      <c r="H47" s="37">
        <v>39.0</v>
      </c>
      <c r="I47" s="37">
        <v>0.0</v>
      </c>
      <c r="J47" s="38">
        <v>9000000.0</v>
      </c>
      <c r="K47" s="38">
        <v>9000000.0</v>
      </c>
      <c r="L47" s="40">
        <f>VLOOKUP($A47,'Dataset '!$A:$I,5,0)</f>
        <v>45940</v>
      </c>
      <c r="M47" s="25" t="s">
        <v>1941</v>
      </c>
      <c r="N47" s="38">
        <f t="shared" si="3"/>
        <v>230769.2308</v>
      </c>
      <c r="O47" s="25" t="str">
        <f t="shared" ref="O47:P47" si="48">J47/I47</f>
        <v>#DIV/0!</v>
      </c>
      <c r="P47" s="41">
        <f t="shared" si="48"/>
        <v>1</v>
      </c>
      <c r="Q47" s="37">
        <v>8.0</v>
      </c>
      <c r="R47" s="37">
        <v>0.0</v>
      </c>
      <c r="S47" s="37">
        <v>0.0</v>
      </c>
      <c r="T47" s="37">
        <v>0.0</v>
      </c>
      <c r="U47" s="37">
        <v>0.0</v>
      </c>
      <c r="V47" s="37">
        <v>1.0</v>
      </c>
      <c r="W47" s="25" t="s">
        <v>550</v>
      </c>
    </row>
    <row r="48">
      <c r="A48" s="25" t="s">
        <v>919</v>
      </c>
      <c r="B48" s="25" t="s">
        <v>52</v>
      </c>
      <c r="C48" s="36" t="s">
        <v>924</v>
      </c>
      <c r="D48" s="37">
        <v>2024.0</v>
      </c>
      <c r="E48" s="38" t="s">
        <v>921</v>
      </c>
      <c r="F48" s="38" t="s">
        <v>59</v>
      </c>
      <c r="G48" s="39" t="str">
        <f>VLOOKUP(A48,'Dataset '!A:I,9,0)</f>
        <v>11 - 50</v>
      </c>
      <c r="H48" s="37">
        <v>25.0</v>
      </c>
      <c r="I48" s="37">
        <v>1.0</v>
      </c>
      <c r="J48" s="38">
        <v>1080000.0</v>
      </c>
      <c r="K48" s="38">
        <v>1080000.0</v>
      </c>
      <c r="L48" s="40">
        <f>VLOOKUP($A48,'Dataset '!$A:$I,5,0)</f>
        <v>45770</v>
      </c>
      <c r="M48" s="25" t="s">
        <v>1944</v>
      </c>
      <c r="N48" s="38">
        <f t="shared" si="3"/>
        <v>43200</v>
      </c>
      <c r="O48" s="38">
        <f t="shared" ref="O48:P48" si="49">J48/I48</f>
        <v>1080000</v>
      </c>
      <c r="P48" s="41">
        <f t="shared" si="49"/>
        <v>1</v>
      </c>
      <c r="Q48" s="37">
        <v>8.0</v>
      </c>
      <c r="R48" s="37">
        <v>0.0</v>
      </c>
      <c r="S48" s="37">
        <v>0.0</v>
      </c>
      <c r="T48" s="37">
        <v>0.0</v>
      </c>
      <c r="U48" s="37">
        <v>0.0</v>
      </c>
      <c r="V48" s="37">
        <v>0.0</v>
      </c>
      <c r="W48" s="25" t="s">
        <v>550</v>
      </c>
    </row>
    <row r="49">
      <c r="A49" s="25" t="s">
        <v>928</v>
      </c>
      <c r="B49" s="25" t="s">
        <v>52</v>
      </c>
      <c r="C49" s="36" t="s">
        <v>931</v>
      </c>
      <c r="D49" s="37">
        <v>2015.0</v>
      </c>
      <c r="E49" s="38" t="s">
        <v>929</v>
      </c>
      <c r="F49" s="38" t="s">
        <v>38</v>
      </c>
      <c r="G49" s="39" t="str">
        <f>VLOOKUP(A49,'Dataset '!A:I,9,0)</f>
        <v>11 - 50</v>
      </c>
      <c r="H49" s="37">
        <v>19.0</v>
      </c>
      <c r="I49" s="37">
        <v>10.0</v>
      </c>
      <c r="J49" s="38">
        <v>1080000.0</v>
      </c>
      <c r="K49" s="38">
        <v>1080000.0</v>
      </c>
      <c r="L49" s="40">
        <f>VLOOKUP($A49,'Dataset '!$A:$I,5,0)</f>
        <v>43920</v>
      </c>
      <c r="M49" s="25" t="s">
        <v>1944</v>
      </c>
      <c r="N49" s="38">
        <f t="shared" si="3"/>
        <v>56842.10526</v>
      </c>
      <c r="O49" s="38">
        <f t="shared" ref="O49:P49" si="50">J49/I49</f>
        <v>108000</v>
      </c>
      <c r="P49" s="41">
        <f t="shared" si="50"/>
        <v>1</v>
      </c>
      <c r="Q49" s="37">
        <v>15.0</v>
      </c>
      <c r="R49" s="37">
        <v>1.0</v>
      </c>
      <c r="S49" s="37">
        <v>0.0</v>
      </c>
      <c r="T49" s="37">
        <v>3.0</v>
      </c>
      <c r="U49" s="37">
        <v>0.0</v>
      </c>
      <c r="V49" s="37">
        <v>0.0</v>
      </c>
      <c r="W49" s="25" t="s">
        <v>558</v>
      </c>
    </row>
    <row r="50">
      <c r="A50" s="25" t="s">
        <v>937</v>
      </c>
      <c r="B50" s="25" t="s">
        <v>52</v>
      </c>
      <c r="C50" s="36" t="s">
        <v>941</v>
      </c>
      <c r="D50" s="37">
        <v>2009.0</v>
      </c>
      <c r="E50" s="38" t="s">
        <v>940</v>
      </c>
      <c r="F50" s="38" t="s">
        <v>59</v>
      </c>
      <c r="G50" s="39" t="str">
        <f>VLOOKUP(A50,'Dataset '!A:I,9,0)</f>
        <v>11 - 50</v>
      </c>
      <c r="H50" s="37">
        <v>35.0</v>
      </c>
      <c r="I50" s="37">
        <v>16.0</v>
      </c>
      <c r="J50" s="38">
        <v>1080000.0</v>
      </c>
      <c r="K50" s="38">
        <v>1080000.0</v>
      </c>
      <c r="L50" s="40">
        <f>VLOOKUP($A50,'Dataset '!$A:$I,5,0)</f>
        <v>41844</v>
      </c>
      <c r="M50" s="25" t="s">
        <v>1944</v>
      </c>
      <c r="N50" s="38">
        <f t="shared" si="3"/>
        <v>30857.14286</v>
      </c>
      <c r="O50" s="38">
        <f t="shared" ref="O50:P50" si="51">J50/I50</f>
        <v>67500</v>
      </c>
      <c r="P50" s="41">
        <f t="shared" si="51"/>
        <v>1</v>
      </c>
      <c r="Q50" s="37">
        <v>15.0</v>
      </c>
      <c r="R50" s="37">
        <v>0.0</v>
      </c>
      <c r="S50" s="37">
        <v>0.0</v>
      </c>
      <c r="T50" s="37">
        <v>1.0</v>
      </c>
      <c r="U50" s="37">
        <v>0.0</v>
      </c>
      <c r="V50" s="37">
        <v>1.0</v>
      </c>
      <c r="W50" s="25" t="s">
        <v>558</v>
      </c>
    </row>
    <row r="51">
      <c r="A51" s="25" t="s">
        <v>950</v>
      </c>
      <c r="B51" s="25" t="s">
        <v>52</v>
      </c>
      <c r="C51" s="36" t="s">
        <v>953</v>
      </c>
      <c r="D51" s="37">
        <v>2011.0</v>
      </c>
      <c r="E51" s="38" t="s">
        <v>951</v>
      </c>
      <c r="F51" s="38" t="s">
        <v>59</v>
      </c>
      <c r="G51" s="39" t="str">
        <f>VLOOKUP(A51,'Dataset '!A:I,9,0)</f>
        <v>11 - 50</v>
      </c>
      <c r="H51" s="37">
        <v>39.0</v>
      </c>
      <c r="I51" s="37">
        <v>14.0</v>
      </c>
      <c r="J51" s="38">
        <v>1198800.0</v>
      </c>
      <c r="K51" s="38">
        <v>1198800.0</v>
      </c>
      <c r="L51" s="40">
        <f>VLOOKUP($A51,'Dataset '!$A:$I,5,0)</f>
        <v>43495</v>
      </c>
      <c r="M51" s="25" t="s">
        <v>1950</v>
      </c>
      <c r="N51" s="38">
        <f t="shared" si="3"/>
        <v>30738.46154</v>
      </c>
      <c r="O51" s="38">
        <f t="shared" ref="O51:P51" si="52">J51/I51</f>
        <v>85628.57143</v>
      </c>
      <c r="P51" s="41">
        <f t="shared" si="52"/>
        <v>1</v>
      </c>
      <c r="Q51" s="37">
        <v>13.0</v>
      </c>
      <c r="R51" s="37">
        <v>2.0</v>
      </c>
      <c r="S51" s="37">
        <v>0.0</v>
      </c>
      <c r="T51" s="37">
        <v>0.0</v>
      </c>
      <c r="U51" s="37">
        <v>1.0</v>
      </c>
      <c r="V51" s="37">
        <v>1.0</v>
      </c>
      <c r="W51" s="25" t="s">
        <v>558</v>
      </c>
    </row>
    <row r="52">
      <c r="A52" s="25" t="s">
        <v>997</v>
      </c>
      <c r="B52" s="25" t="s">
        <v>52</v>
      </c>
      <c r="C52" s="36" t="s">
        <v>999</v>
      </c>
      <c r="D52" s="37">
        <v>2022.0</v>
      </c>
      <c r="E52" s="38" t="s">
        <v>998</v>
      </c>
      <c r="F52" s="38" t="s">
        <v>59</v>
      </c>
      <c r="G52" s="39" t="str">
        <f>VLOOKUP(A52,'Dataset '!A:I,9,0)</f>
        <v>11 - 50</v>
      </c>
      <c r="H52" s="37">
        <v>12.0</v>
      </c>
      <c r="I52" s="37">
        <v>3.0</v>
      </c>
      <c r="J52" s="38">
        <v>1296000.0</v>
      </c>
      <c r="K52" s="38">
        <v>1296000.0</v>
      </c>
      <c r="L52" s="40">
        <f>VLOOKUP($A52,'Dataset '!$A:$I,5,0)</f>
        <v>45689</v>
      </c>
      <c r="M52" s="25" t="s">
        <v>1953</v>
      </c>
      <c r="N52" s="38">
        <f t="shared" si="3"/>
        <v>108000</v>
      </c>
      <c r="O52" s="38">
        <f t="shared" ref="O52:P52" si="53">J52/I52</f>
        <v>432000</v>
      </c>
      <c r="P52" s="41">
        <f t="shared" si="53"/>
        <v>1</v>
      </c>
      <c r="Q52" s="37">
        <v>17.0</v>
      </c>
      <c r="R52" s="37">
        <v>2.0</v>
      </c>
      <c r="S52" s="37">
        <v>2.0</v>
      </c>
      <c r="T52" s="37">
        <v>2.0</v>
      </c>
      <c r="U52" s="37">
        <v>0.0</v>
      </c>
      <c r="V52" s="37">
        <v>1.0</v>
      </c>
      <c r="W52" s="25" t="s">
        <v>558</v>
      </c>
    </row>
    <row r="53">
      <c r="A53" s="25" t="s">
        <v>1007</v>
      </c>
      <c r="B53" s="25" t="s">
        <v>52</v>
      </c>
      <c r="C53" s="36" t="s">
        <v>1010</v>
      </c>
      <c r="D53" s="37">
        <v>2016.0</v>
      </c>
      <c r="E53" s="38" t="s">
        <v>1008</v>
      </c>
      <c r="F53" s="38" t="s">
        <v>38</v>
      </c>
      <c r="G53" s="39" t="str">
        <f>VLOOKUP(A53,'Dataset '!A:I,9,0)</f>
        <v>11 - 50</v>
      </c>
      <c r="H53" s="37">
        <v>23.0</v>
      </c>
      <c r="I53" s="37">
        <v>9.0</v>
      </c>
      <c r="J53" s="38">
        <v>1512000.0</v>
      </c>
      <c r="K53" s="38">
        <v>1296000.0</v>
      </c>
      <c r="L53" s="40">
        <f>VLOOKUP($A53,'Dataset '!$A:$I,5,0)</f>
        <v>44734</v>
      </c>
      <c r="M53" s="25" t="s">
        <v>1955</v>
      </c>
      <c r="N53" s="38">
        <f t="shared" si="3"/>
        <v>56347.82609</v>
      </c>
      <c r="O53" s="38">
        <f t="shared" ref="O53:P53" si="54">J53/I53</f>
        <v>168000</v>
      </c>
      <c r="P53" s="41">
        <f t="shared" si="54"/>
        <v>0.8571428571</v>
      </c>
      <c r="Q53" s="37">
        <v>23.0</v>
      </c>
      <c r="R53" s="37">
        <v>0.0</v>
      </c>
      <c r="S53" s="37">
        <v>1.0</v>
      </c>
      <c r="T53" s="37">
        <v>2.0</v>
      </c>
      <c r="U53" s="37">
        <v>2.0</v>
      </c>
      <c r="V53" s="37">
        <v>4.0</v>
      </c>
      <c r="W53" s="25" t="s">
        <v>558</v>
      </c>
    </row>
    <row r="54">
      <c r="A54" s="25" t="s">
        <v>1053</v>
      </c>
      <c r="B54" s="25" t="s">
        <v>52</v>
      </c>
      <c r="C54" s="36" t="s">
        <v>1056</v>
      </c>
      <c r="D54" s="37">
        <v>2018.0</v>
      </c>
      <c r="E54" s="38" t="s">
        <v>1054</v>
      </c>
      <c r="F54" s="38" t="s">
        <v>38</v>
      </c>
      <c r="G54" s="39" t="str">
        <f>VLOOKUP(A54,'Dataset '!A:I,9,0)</f>
        <v>11 - 50</v>
      </c>
      <c r="H54" s="37">
        <v>32.0</v>
      </c>
      <c r="I54" s="37">
        <v>7.0</v>
      </c>
      <c r="J54" s="38">
        <v>1512000.0</v>
      </c>
      <c r="K54" s="38">
        <v>1512000.0</v>
      </c>
      <c r="L54" s="40">
        <f>VLOOKUP($A54,'Dataset '!$A:$I,5,0)</f>
        <v>43704</v>
      </c>
      <c r="M54" s="25" t="s">
        <v>1955</v>
      </c>
      <c r="N54" s="38">
        <f t="shared" si="3"/>
        <v>47250</v>
      </c>
      <c r="O54" s="38">
        <f t="shared" ref="O54:P54" si="55">J54/I54</f>
        <v>216000</v>
      </c>
      <c r="P54" s="41">
        <f t="shared" si="55"/>
        <v>1</v>
      </c>
      <c r="Q54" s="37">
        <v>19.0</v>
      </c>
      <c r="R54" s="37">
        <v>2.0</v>
      </c>
      <c r="S54" s="37">
        <v>0.0</v>
      </c>
      <c r="T54" s="37">
        <v>2.0</v>
      </c>
      <c r="U54" s="37">
        <v>0.0</v>
      </c>
      <c r="V54" s="37">
        <v>1.0</v>
      </c>
      <c r="W54" s="25" t="s">
        <v>558</v>
      </c>
    </row>
    <row r="55">
      <c r="A55" s="25" t="s">
        <v>1063</v>
      </c>
      <c r="B55" s="25" t="s">
        <v>52</v>
      </c>
      <c r="C55" s="36" t="s">
        <v>1957</v>
      </c>
      <c r="D55" s="37">
        <v>2012.0</v>
      </c>
      <c r="E55" s="38" t="s">
        <v>1064</v>
      </c>
      <c r="F55" s="38" t="s">
        <v>59</v>
      </c>
      <c r="G55" s="39" t="str">
        <f>VLOOKUP(A55,'Dataset '!A:I,9,0)</f>
        <v>11 - 50</v>
      </c>
      <c r="H55" s="37">
        <v>37.0</v>
      </c>
      <c r="I55" s="37">
        <v>13.0</v>
      </c>
      <c r="J55" s="38">
        <v>2311200.0</v>
      </c>
      <c r="K55" s="38">
        <v>1512000.0</v>
      </c>
      <c r="L55" s="40">
        <f>VLOOKUP($A55,'Dataset '!$A:$I,5,0)</f>
        <v>42005</v>
      </c>
      <c r="M55" s="25" t="s">
        <v>1958</v>
      </c>
      <c r="N55" s="38">
        <f t="shared" si="3"/>
        <v>40864.86486</v>
      </c>
      <c r="O55" s="38">
        <f t="shared" ref="O55:P55" si="56">J55/I55</f>
        <v>177784.6154</v>
      </c>
      <c r="P55" s="41">
        <f t="shared" si="56"/>
        <v>0.6542056075</v>
      </c>
      <c r="Q55" s="37">
        <v>4.0</v>
      </c>
      <c r="R55" s="37">
        <v>0.0</v>
      </c>
      <c r="S55" s="37">
        <v>1.0</v>
      </c>
      <c r="T55" s="37">
        <v>0.0</v>
      </c>
      <c r="U55" s="37">
        <v>0.0</v>
      </c>
      <c r="V55" s="37">
        <v>0.0</v>
      </c>
      <c r="W55" s="25" t="s">
        <v>569</v>
      </c>
    </row>
    <row r="56">
      <c r="A56" s="25" t="s">
        <v>1079</v>
      </c>
      <c r="B56" s="25" t="s">
        <v>52</v>
      </c>
      <c r="C56" s="36" t="s">
        <v>1960</v>
      </c>
      <c r="D56" s="37">
        <v>2021.0</v>
      </c>
      <c r="E56" s="38" t="s">
        <v>1080</v>
      </c>
      <c r="F56" s="38" t="s">
        <v>59</v>
      </c>
      <c r="G56" s="39" t="str">
        <f>VLOOKUP(A56,'Dataset '!A:I,9,0)</f>
        <v>11 - 50</v>
      </c>
      <c r="H56" s="37">
        <v>20.0</v>
      </c>
      <c r="I56" s="37">
        <v>4.0</v>
      </c>
      <c r="J56" s="38">
        <v>1620000.0</v>
      </c>
      <c r="K56" s="38">
        <v>1620000.0</v>
      </c>
      <c r="L56" s="40">
        <f>VLOOKUP($A56,'Dataset '!$A:$I,5,0)</f>
        <v>44887</v>
      </c>
      <c r="M56" s="25" t="s">
        <v>1961</v>
      </c>
      <c r="N56" s="38">
        <f t="shared" si="3"/>
        <v>81000</v>
      </c>
      <c r="O56" s="38">
        <f t="shared" ref="O56:P56" si="57">J56/I56</f>
        <v>405000</v>
      </c>
      <c r="P56" s="41">
        <f t="shared" si="57"/>
        <v>1</v>
      </c>
      <c r="Q56" s="37">
        <v>13.0</v>
      </c>
      <c r="R56" s="37">
        <v>2.0</v>
      </c>
      <c r="S56" s="37">
        <v>0.0</v>
      </c>
      <c r="T56" s="37">
        <v>1.0</v>
      </c>
      <c r="U56" s="37">
        <v>0.0</v>
      </c>
      <c r="V56" s="37">
        <v>0.0</v>
      </c>
      <c r="W56" s="25" t="s">
        <v>558</v>
      </c>
    </row>
    <row r="57">
      <c r="A57" s="25" t="s">
        <v>1116</v>
      </c>
      <c r="B57" s="25" t="s">
        <v>52</v>
      </c>
      <c r="C57" s="36" t="s">
        <v>1118</v>
      </c>
      <c r="D57" s="37">
        <v>2022.0</v>
      </c>
      <c r="E57" s="38" t="s">
        <v>1117</v>
      </c>
      <c r="F57" s="38" t="s">
        <v>59</v>
      </c>
      <c r="G57" s="39" t="str">
        <f>VLOOKUP(A57,'Dataset '!A:I,9,0)</f>
        <v>11 - 50</v>
      </c>
      <c r="H57" s="37">
        <v>11.0</v>
      </c>
      <c r="I57" s="37">
        <v>3.0</v>
      </c>
      <c r="J57" s="38">
        <v>1998001.0</v>
      </c>
      <c r="K57" s="38">
        <v>1890000.0</v>
      </c>
      <c r="L57" s="40">
        <f>VLOOKUP($A57,'Dataset '!$A:$I,5,0)</f>
        <v>45552</v>
      </c>
      <c r="M57" s="25" t="s">
        <v>1963</v>
      </c>
      <c r="N57" s="38">
        <f t="shared" si="3"/>
        <v>171818.1818</v>
      </c>
      <c r="O57" s="38">
        <f t="shared" ref="O57:P57" si="58">J57/I57</f>
        <v>666000.3333</v>
      </c>
      <c r="P57" s="41">
        <f t="shared" si="58"/>
        <v>0.9459454725</v>
      </c>
      <c r="Q57" s="37">
        <v>16.0</v>
      </c>
      <c r="R57" s="37">
        <v>1.0</v>
      </c>
      <c r="S57" s="37">
        <v>0.0</v>
      </c>
      <c r="T57" s="37">
        <v>2.0</v>
      </c>
      <c r="U57" s="37">
        <v>0.0</v>
      </c>
      <c r="V57" s="37">
        <v>0.0</v>
      </c>
      <c r="W57" s="25" t="s">
        <v>550</v>
      </c>
    </row>
    <row r="58">
      <c r="A58" s="25" t="s">
        <v>1125</v>
      </c>
      <c r="B58" s="25" t="s">
        <v>52</v>
      </c>
      <c r="C58" s="36" t="s">
        <v>1129</v>
      </c>
      <c r="D58" s="37">
        <v>2019.0</v>
      </c>
      <c r="E58" s="38" t="s">
        <v>1126</v>
      </c>
      <c r="F58" s="38" t="s">
        <v>59</v>
      </c>
      <c r="G58" s="39" t="str">
        <f>VLOOKUP(A58,'Dataset '!A:I,9,0)</f>
        <v>11 - 50</v>
      </c>
      <c r="H58" s="37">
        <v>32.0</v>
      </c>
      <c r="I58" s="37">
        <v>6.0</v>
      </c>
      <c r="J58" s="38">
        <v>2376000.0</v>
      </c>
      <c r="K58" s="38">
        <v>1944000.0</v>
      </c>
      <c r="L58" s="40">
        <f>VLOOKUP($A58,'Dataset '!$A:$I,5,0)</f>
        <v>45251</v>
      </c>
      <c r="M58" s="25" t="s">
        <v>1965</v>
      </c>
      <c r="N58" s="38">
        <f t="shared" si="3"/>
        <v>60750</v>
      </c>
      <c r="O58" s="38">
        <f t="shared" ref="O58:P58" si="59">J58/I58</f>
        <v>396000</v>
      </c>
      <c r="P58" s="41">
        <f t="shared" si="59"/>
        <v>0.8181818182</v>
      </c>
      <c r="Q58" s="37">
        <v>16.0</v>
      </c>
      <c r="R58" s="37">
        <v>1.0</v>
      </c>
      <c r="S58" s="37">
        <v>0.0</v>
      </c>
      <c r="T58" s="37">
        <v>1.0</v>
      </c>
      <c r="U58" s="37">
        <v>0.0</v>
      </c>
      <c r="V58" s="37">
        <v>2.0</v>
      </c>
      <c r="W58" s="25" t="s">
        <v>595</v>
      </c>
    </row>
    <row r="59">
      <c r="A59" s="25" t="s">
        <v>1321</v>
      </c>
      <c r="B59" s="25" t="s">
        <v>52</v>
      </c>
      <c r="C59" s="36" t="s">
        <v>1813</v>
      </c>
      <c r="D59" s="37">
        <v>2015.0</v>
      </c>
      <c r="E59" s="38" t="s">
        <v>1322</v>
      </c>
      <c r="F59" s="38" t="s">
        <v>76</v>
      </c>
      <c r="G59" s="39" t="str">
        <f>VLOOKUP(A59,'Dataset '!A:I,9,0)</f>
        <v>11 - 50</v>
      </c>
      <c r="H59" s="37">
        <v>5.0</v>
      </c>
      <c r="I59" s="37">
        <v>10.0</v>
      </c>
      <c r="J59" s="38">
        <v>1.6632E7</v>
      </c>
      <c r="K59" s="38">
        <v>1.08E7</v>
      </c>
      <c r="L59" s="40">
        <f>VLOOKUP($A59,'Dataset '!$A:$I,5,0)</f>
        <v>44865</v>
      </c>
      <c r="M59" s="25" t="s">
        <v>1969</v>
      </c>
      <c r="N59" s="38">
        <f t="shared" si="3"/>
        <v>2160000</v>
      </c>
      <c r="O59" s="38">
        <f t="shared" ref="O59:P59" si="60">J59/I59</f>
        <v>1663200</v>
      </c>
      <c r="P59" s="41">
        <f t="shared" si="60"/>
        <v>0.6493506494</v>
      </c>
      <c r="Q59" s="37">
        <v>13.0</v>
      </c>
      <c r="R59" s="37">
        <v>1.0</v>
      </c>
      <c r="S59" s="37">
        <v>1.0</v>
      </c>
      <c r="T59" s="37">
        <v>1.0</v>
      </c>
      <c r="U59" s="37">
        <v>0.0</v>
      </c>
      <c r="V59" s="37">
        <v>1.0</v>
      </c>
      <c r="W59" s="25" t="s">
        <v>595</v>
      </c>
    </row>
    <row r="60">
      <c r="A60" s="25" t="s">
        <v>1341</v>
      </c>
      <c r="B60" s="25" t="s">
        <v>52</v>
      </c>
      <c r="C60" s="36" t="s">
        <v>1832</v>
      </c>
      <c r="D60" s="37">
        <v>2021.0</v>
      </c>
      <c r="E60" s="38" t="s">
        <v>1342</v>
      </c>
      <c r="F60" s="38" t="s">
        <v>59</v>
      </c>
      <c r="G60" s="39" t="str">
        <f>VLOOKUP(A60,'Dataset '!A:I,9,0)</f>
        <v>11 - 50</v>
      </c>
      <c r="H60" s="37">
        <v>26.0</v>
      </c>
      <c r="I60" s="37">
        <v>4.0</v>
      </c>
      <c r="J60" s="38">
        <v>1.188E7</v>
      </c>
      <c r="K60" s="38">
        <v>1.188E7</v>
      </c>
      <c r="L60" s="40">
        <f>VLOOKUP($A60,'Dataset '!$A:$I,5,0)</f>
        <v>45912</v>
      </c>
      <c r="M60" s="25" t="s">
        <v>1970</v>
      </c>
      <c r="N60" s="38">
        <f t="shared" si="3"/>
        <v>456923.0769</v>
      </c>
      <c r="O60" s="38">
        <f t="shared" ref="O60:P60" si="61">J60/I60</f>
        <v>2970000</v>
      </c>
      <c r="P60" s="41">
        <f t="shared" si="61"/>
        <v>1</v>
      </c>
      <c r="Q60" s="37">
        <v>18.0</v>
      </c>
      <c r="R60" s="37">
        <v>1.0</v>
      </c>
      <c r="S60" s="37">
        <v>1.0</v>
      </c>
      <c r="T60" s="37">
        <v>1.0</v>
      </c>
      <c r="U60" s="37">
        <v>2.0</v>
      </c>
      <c r="V60" s="37">
        <v>1.0</v>
      </c>
      <c r="W60" s="25" t="s">
        <v>558</v>
      </c>
    </row>
    <row r="61">
      <c r="A61" s="25" t="s">
        <v>1354</v>
      </c>
      <c r="B61" s="25" t="s">
        <v>52</v>
      </c>
      <c r="C61" s="36" t="s">
        <v>1851</v>
      </c>
      <c r="D61" s="37">
        <v>2017.0</v>
      </c>
      <c r="E61" s="38" t="s">
        <v>1355</v>
      </c>
      <c r="F61" s="38" t="s">
        <v>752</v>
      </c>
      <c r="G61" s="39" t="str">
        <f>VLOOKUP(A61,'Dataset '!A:I,9,0)</f>
        <v>11 - 50</v>
      </c>
      <c r="H61" s="37">
        <v>48.0</v>
      </c>
      <c r="I61" s="37">
        <v>8.0</v>
      </c>
      <c r="J61" s="38">
        <v>1.62E7</v>
      </c>
      <c r="K61" s="38">
        <v>1.62E7</v>
      </c>
      <c r="L61" s="40">
        <f>VLOOKUP($A61,'Dataset '!$A:$I,5,0)</f>
        <v>45630</v>
      </c>
      <c r="M61" s="25" t="s">
        <v>1971</v>
      </c>
      <c r="N61" s="38">
        <f t="shared" si="3"/>
        <v>337500</v>
      </c>
      <c r="O61" s="38">
        <f t="shared" ref="O61:P61" si="62">J61/I61</f>
        <v>2025000</v>
      </c>
      <c r="P61" s="41">
        <f t="shared" si="62"/>
        <v>1</v>
      </c>
      <c r="Q61" s="37">
        <v>10.0</v>
      </c>
      <c r="R61" s="37">
        <v>0.0</v>
      </c>
      <c r="S61" s="37">
        <v>0.0</v>
      </c>
      <c r="T61" s="37">
        <v>0.0</v>
      </c>
      <c r="U61" s="37">
        <v>0.0</v>
      </c>
      <c r="V61" s="37">
        <v>0.0</v>
      </c>
      <c r="W61" s="25" t="s">
        <v>569</v>
      </c>
    </row>
    <row r="62">
      <c r="A62" s="25" t="s">
        <v>1358</v>
      </c>
      <c r="B62" s="25" t="s">
        <v>52</v>
      </c>
      <c r="C62" s="36" t="s">
        <v>1857</v>
      </c>
      <c r="D62" s="37">
        <v>2015.0</v>
      </c>
      <c r="E62" s="38" t="s">
        <v>1359</v>
      </c>
      <c r="F62" s="38" t="s">
        <v>38</v>
      </c>
      <c r="G62" s="39" t="str">
        <f>VLOOKUP(A62,'Dataset '!A:I,9,0)</f>
        <v>11 - 50</v>
      </c>
      <c r="H62" s="37">
        <v>42.0</v>
      </c>
      <c r="I62" s="37">
        <v>10.0</v>
      </c>
      <c r="J62" s="38">
        <v>2.1276E7</v>
      </c>
      <c r="K62" s="38">
        <v>1.836E7</v>
      </c>
      <c r="L62" s="40">
        <f>VLOOKUP($A62,'Dataset '!$A:$I,5,0)</f>
        <v>45498</v>
      </c>
      <c r="M62" s="25" t="s">
        <v>1972</v>
      </c>
      <c r="N62" s="38">
        <f t="shared" si="3"/>
        <v>437142.8571</v>
      </c>
      <c r="O62" s="38">
        <f t="shared" ref="O62:P62" si="63">J62/I62</f>
        <v>2127600</v>
      </c>
      <c r="P62" s="41">
        <f t="shared" si="63"/>
        <v>0.8629441624</v>
      </c>
      <c r="Q62" s="37">
        <v>8.0</v>
      </c>
      <c r="R62" s="37">
        <v>0.0</v>
      </c>
      <c r="S62" s="37">
        <v>0.0</v>
      </c>
      <c r="T62" s="37">
        <v>0.0</v>
      </c>
      <c r="U62" s="37">
        <v>0.0</v>
      </c>
      <c r="V62" s="37">
        <v>1.0</v>
      </c>
      <c r="W62" s="25" t="s">
        <v>569</v>
      </c>
    </row>
    <row r="63">
      <c r="A63" s="25" t="s">
        <v>1149</v>
      </c>
      <c r="B63" s="25" t="s">
        <v>52</v>
      </c>
      <c r="C63" s="36" t="s">
        <v>1153</v>
      </c>
      <c r="D63" s="37">
        <v>2017.0</v>
      </c>
      <c r="E63" s="38" t="s">
        <v>1150</v>
      </c>
      <c r="F63" s="38" t="s">
        <v>38</v>
      </c>
      <c r="G63" s="39" t="str">
        <f>VLOOKUP(A63,'Dataset '!A:I,9,0)</f>
        <v>11 - 50</v>
      </c>
      <c r="H63" s="37">
        <v>29.0</v>
      </c>
      <c r="I63" s="37">
        <v>8.0</v>
      </c>
      <c r="J63" s="38">
        <v>3780000.0</v>
      </c>
      <c r="K63" s="38">
        <v>2160000.0</v>
      </c>
      <c r="L63" s="40">
        <f>VLOOKUP($A63,'Dataset '!$A:$I,5,0)</f>
        <v>45841</v>
      </c>
      <c r="M63" s="25" t="s">
        <v>1975</v>
      </c>
      <c r="N63" s="38">
        <f t="shared" si="3"/>
        <v>74482.75862</v>
      </c>
      <c r="O63" s="38">
        <f t="shared" ref="O63:P63" si="64">J63/I63</f>
        <v>472500</v>
      </c>
      <c r="P63" s="41">
        <f t="shared" si="64"/>
        <v>0.5714285714</v>
      </c>
      <c r="Q63" s="37">
        <v>28.0</v>
      </c>
      <c r="R63" s="37">
        <v>2.0</v>
      </c>
      <c r="S63" s="37">
        <v>0.0</v>
      </c>
      <c r="T63" s="37">
        <v>0.0</v>
      </c>
      <c r="U63" s="37">
        <v>1.0</v>
      </c>
      <c r="V63" s="37">
        <v>2.0</v>
      </c>
      <c r="W63" s="25" t="s">
        <v>558</v>
      </c>
    </row>
    <row r="64">
      <c r="A64" s="25" t="s">
        <v>1161</v>
      </c>
      <c r="B64" s="25" t="s">
        <v>52</v>
      </c>
      <c r="C64" s="36" t="s">
        <v>1168</v>
      </c>
      <c r="D64" s="37">
        <v>2023.0</v>
      </c>
      <c r="E64" s="38" t="s">
        <v>1163</v>
      </c>
      <c r="F64" s="38" t="s">
        <v>76</v>
      </c>
      <c r="G64" s="39" t="str">
        <f>VLOOKUP(A64,'Dataset '!A:I,9,0)</f>
        <v>11 - 50</v>
      </c>
      <c r="H64" s="37">
        <v>8.0</v>
      </c>
      <c r="I64" s="37">
        <v>2.0</v>
      </c>
      <c r="J64" s="38">
        <v>2970000.0</v>
      </c>
      <c r="K64" s="38">
        <v>2160000.0</v>
      </c>
      <c r="L64" s="40">
        <f>VLOOKUP($A64,'Dataset '!$A:$I,5,0)</f>
        <v>45841</v>
      </c>
      <c r="M64" s="25" t="s">
        <v>1977</v>
      </c>
      <c r="N64" s="38">
        <f t="shared" si="3"/>
        <v>270000</v>
      </c>
      <c r="O64" s="38">
        <f t="shared" ref="O64:P64" si="65">J64/I64</f>
        <v>1485000</v>
      </c>
      <c r="P64" s="41">
        <f t="shared" si="65"/>
        <v>0.7272727273</v>
      </c>
      <c r="Q64" s="37">
        <v>5.0</v>
      </c>
      <c r="R64" s="37">
        <v>0.0</v>
      </c>
      <c r="S64" s="37">
        <v>1.0</v>
      </c>
      <c r="T64" s="37">
        <v>0.0</v>
      </c>
      <c r="U64" s="37">
        <v>0.0</v>
      </c>
      <c r="V64" s="37">
        <v>0.0</v>
      </c>
      <c r="W64" s="25" t="s">
        <v>558</v>
      </c>
    </row>
    <row r="65">
      <c r="A65" s="25" t="s">
        <v>1175</v>
      </c>
      <c r="B65" s="25" t="s">
        <v>52</v>
      </c>
      <c r="C65" s="36" t="s">
        <v>1178</v>
      </c>
      <c r="D65" s="37">
        <v>2022.0</v>
      </c>
      <c r="E65" s="38" t="s">
        <v>1177</v>
      </c>
      <c r="F65" s="38" t="s">
        <v>59</v>
      </c>
      <c r="G65" s="39" t="str">
        <f>VLOOKUP(A65,'Dataset '!A:I,9,0)</f>
        <v>11 - 50</v>
      </c>
      <c r="H65" s="37">
        <v>20.0</v>
      </c>
      <c r="I65" s="37">
        <v>3.0</v>
      </c>
      <c r="J65" s="38">
        <v>3780000.0</v>
      </c>
      <c r="K65" s="38">
        <v>2160000.0</v>
      </c>
      <c r="L65" s="40">
        <f>VLOOKUP($A65,'Dataset '!$A:$I,5,0)</f>
        <v>45748</v>
      </c>
      <c r="M65" s="25" t="s">
        <v>1975</v>
      </c>
      <c r="N65" s="38">
        <f t="shared" si="3"/>
        <v>108000</v>
      </c>
      <c r="O65" s="38">
        <f t="shared" ref="O65:P65" si="66">J65/I65</f>
        <v>1260000</v>
      </c>
      <c r="P65" s="41">
        <f t="shared" si="66"/>
        <v>0.5714285714</v>
      </c>
      <c r="Q65" s="37">
        <v>8.0</v>
      </c>
      <c r="R65" s="37">
        <v>0.0</v>
      </c>
      <c r="S65" s="37">
        <v>1.0</v>
      </c>
      <c r="T65" s="37">
        <v>0.0</v>
      </c>
      <c r="U65" s="37">
        <v>0.0</v>
      </c>
      <c r="V65" s="37">
        <v>0.0</v>
      </c>
      <c r="W65" s="25" t="s">
        <v>558</v>
      </c>
    </row>
    <row r="66">
      <c r="A66" s="25" t="s">
        <v>1184</v>
      </c>
      <c r="B66" s="25" t="s">
        <v>52</v>
      </c>
      <c r="C66" s="36" t="s">
        <v>1186</v>
      </c>
      <c r="D66" s="37">
        <v>2020.0</v>
      </c>
      <c r="E66" s="38" t="s">
        <v>1185</v>
      </c>
      <c r="F66" s="38" t="s">
        <v>59</v>
      </c>
      <c r="G66" s="39" t="str">
        <f>VLOOKUP(A66,'Dataset '!A:I,9,0)</f>
        <v>11 - 50</v>
      </c>
      <c r="H66" s="37">
        <v>22.0</v>
      </c>
      <c r="I66" s="37">
        <v>5.0</v>
      </c>
      <c r="J66" s="38">
        <v>2160000.0</v>
      </c>
      <c r="K66" s="38">
        <v>2160000.0</v>
      </c>
      <c r="L66" s="40">
        <f>VLOOKUP($A66,'Dataset '!$A:$I,5,0)</f>
        <v>45300</v>
      </c>
      <c r="M66" s="25" t="s">
        <v>1980</v>
      </c>
      <c r="N66" s="38">
        <f t="shared" si="3"/>
        <v>98181.81818</v>
      </c>
      <c r="O66" s="38">
        <f t="shared" ref="O66:P66" si="67">J66/I66</f>
        <v>432000</v>
      </c>
      <c r="P66" s="41">
        <f t="shared" si="67"/>
        <v>1</v>
      </c>
      <c r="Q66" s="37">
        <v>16.0</v>
      </c>
      <c r="R66" s="37">
        <v>1.0</v>
      </c>
      <c r="S66" s="37">
        <v>0.0</v>
      </c>
      <c r="T66" s="37">
        <v>0.0</v>
      </c>
      <c r="U66" s="37">
        <v>1.0</v>
      </c>
      <c r="V66" s="37">
        <v>1.0</v>
      </c>
      <c r="W66" s="25" t="s">
        <v>569</v>
      </c>
    </row>
    <row r="67">
      <c r="A67" s="25" t="s">
        <v>1193</v>
      </c>
      <c r="B67" s="25" t="s">
        <v>52</v>
      </c>
      <c r="C67" s="36" t="s">
        <v>1197</v>
      </c>
      <c r="D67" s="37">
        <v>2021.0</v>
      </c>
      <c r="E67" s="38" t="s">
        <v>1195</v>
      </c>
      <c r="F67" s="38" t="s">
        <v>59</v>
      </c>
      <c r="G67" s="39" t="str">
        <f>VLOOKUP(A67,'Dataset '!A:I,9,0)</f>
        <v>11 - 50</v>
      </c>
      <c r="H67" s="37">
        <v>20.0</v>
      </c>
      <c r="I67" s="37">
        <v>4.0</v>
      </c>
      <c r="J67" s="38">
        <v>2268000.0</v>
      </c>
      <c r="K67" s="38">
        <v>2160000.0</v>
      </c>
      <c r="L67" s="40">
        <f>VLOOKUP($A67,'Dataset '!$A:$I,5,0)</f>
        <v>45495</v>
      </c>
      <c r="M67" s="25" t="s">
        <v>1982</v>
      </c>
      <c r="N67" s="38">
        <f t="shared" si="3"/>
        <v>108000</v>
      </c>
      <c r="O67" s="38">
        <f t="shared" ref="O67:P67" si="68">J67/I67</f>
        <v>567000</v>
      </c>
      <c r="P67" s="41">
        <f t="shared" si="68"/>
        <v>0.9523809524</v>
      </c>
      <c r="Q67" s="37">
        <v>12.0</v>
      </c>
      <c r="R67" s="37">
        <v>0.0</v>
      </c>
      <c r="S67" s="37">
        <v>1.0</v>
      </c>
      <c r="T67" s="37">
        <v>0.0</v>
      </c>
      <c r="U67" s="37">
        <v>0.0</v>
      </c>
      <c r="V67" s="37">
        <v>0.0</v>
      </c>
      <c r="W67" s="25" t="s">
        <v>569</v>
      </c>
    </row>
    <row r="68">
      <c r="A68" s="36" t="s">
        <v>1203</v>
      </c>
      <c r="B68" s="25" t="s">
        <v>52</v>
      </c>
      <c r="C68" s="36" t="s">
        <v>1212</v>
      </c>
      <c r="D68" s="37">
        <v>2013.0</v>
      </c>
      <c r="E68" s="38" t="s">
        <v>1211</v>
      </c>
      <c r="F68" s="38" t="s">
        <v>59</v>
      </c>
      <c r="G68" s="39" t="str">
        <f>VLOOKUP(A68,'Dataset '!A:I,9,0)</f>
        <v>11 - 50</v>
      </c>
      <c r="H68" s="37">
        <v>45.0</v>
      </c>
      <c r="I68" s="37">
        <v>12.0</v>
      </c>
      <c r="J68" s="38">
        <v>2970000.0</v>
      </c>
      <c r="K68" s="38">
        <v>2160000.0</v>
      </c>
      <c r="L68" s="40">
        <f>VLOOKUP($A68,'Dataset '!$A:$I,5,0)</f>
        <v>43895</v>
      </c>
      <c r="M68" s="25" t="s">
        <v>1977</v>
      </c>
      <c r="N68" s="38">
        <f t="shared" si="3"/>
        <v>48000</v>
      </c>
      <c r="O68" s="38">
        <f t="shared" ref="O68:P68" si="69">J68/I68</f>
        <v>247500</v>
      </c>
      <c r="P68" s="41">
        <f t="shared" si="69"/>
        <v>0.7272727273</v>
      </c>
      <c r="Q68" s="37">
        <v>38.0</v>
      </c>
      <c r="R68" s="37">
        <v>1.0</v>
      </c>
      <c r="S68" s="37">
        <v>0.0</v>
      </c>
      <c r="T68" s="37">
        <v>2.0</v>
      </c>
      <c r="U68" s="37">
        <v>3.0</v>
      </c>
      <c r="V68" s="37">
        <v>7.0</v>
      </c>
      <c r="W68" s="25" t="s">
        <v>558</v>
      </c>
    </row>
    <row r="69">
      <c r="A69" s="25" t="s">
        <v>1289</v>
      </c>
      <c r="B69" s="25" t="s">
        <v>52</v>
      </c>
      <c r="C69" s="36" t="s">
        <v>1291</v>
      </c>
      <c r="D69" s="37">
        <v>2018.0</v>
      </c>
      <c r="E69" s="38" t="s">
        <v>1290</v>
      </c>
      <c r="F69" s="38" t="s">
        <v>59</v>
      </c>
      <c r="G69" s="39" t="str">
        <f>VLOOKUP(A69,'Dataset '!A:I,9,0)</f>
        <v>11 - 50</v>
      </c>
      <c r="H69" s="37">
        <v>44.0</v>
      </c>
      <c r="I69" s="37">
        <v>7.0</v>
      </c>
      <c r="J69" s="38">
        <v>4803671.0</v>
      </c>
      <c r="K69" s="38">
        <v>2700000.0</v>
      </c>
      <c r="L69" s="40">
        <f>VLOOKUP($A69,'Dataset '!$A:$I,5,0)</f>
        <v>45377</v>
      </c>
      <c r="M69" s="25" t="s">
        <v>1986</v>
      </c>
      <c r="N69" s="38">
        <f t="shared" si="3"/>
        <v>61363.63636</v>
      </c>
      <c r="O69" s="38">
        <f t="shared" ref="O69:P69" si="70">J69/I69</f>
        <v>686238.7143</v>
      </c>
      <c r="P69" s="41">
        <f t="shared" si="70"/>
        <v>0.5620701334</v>
      </c>
      <c r="Q69" s="37">
        <v>15.0</v>
      </c>
      <c r="R69" s="37">
        <v>1.0</v>
      </c>
      <c r="S69" s="37">
        <v>1.0</v>
      </c>
      <c r="T69" s="37">
        <v>0.0</v>
      </c>
      <c r="U69" s="37">
        <v>0.0</v>
      </c>
      <c r="V69" s="37">
        <v>1.0</v>
      </c>
      <c r="W69" s="25" t="s">
        <v>558</v>
      </c>
    </row>
    <row r="70">
      <c r="A70" s="25" t="s">
        <v>1296</v>
      </c>
      <c r="B70" s="25" t="s">
        <v>52</v>
      </c>
      <c r="C70" s="36" t="s">
        <v>1987</v>
      </c>
      <c r="D70" s="37">
        <v>2021.0</v>
      </c>
      <c r="E70" s="38" t="s">
        <v>1297</v>
      </c>
      <c r="F70" s="38" t="s">
        <v>59</v>
      </c>
      <c r="G70" s="39" t="str">
        <f>VLOOKUP(A70,'Dataset '!A:I,9,0)</f>
        <v>11 - 50</v>
      </c>
      <c r="H70" s="25">
        <v>30.0</v>
      </c>
      <c r="I70" s="37">
        <v>4.0</v>
      </c>
      <c r="J70" s="38">
        <v>2700000.0</v>
      </c>
      <c r="K70" s="38">
        <v>2700000.0</v>
      </c>
      <c r="L70" s="40">
        <f>VLOOKUP($A70,'Dataset '!$A:$I,5,0)</f>
        <v>45222</v>
      </c>
      <c r="M70" s="25" t="s">
        <v>1988</v>
      </c>
      <c r="N70" s="38">
        <f t="shared" si="3"/>
        <v>90000</v>
      </c>
      <c r="O70" s="38">
        <f t="shared" ref="O70:P70" si="71">J70/I70</f>
        <v>675000</v>
      </c>
      <c r="P70" s="41">
        <f t="shared" si="71"/>
        <v>1</v>
      </c>
      <c r="Q70" s="37">
        <v>0.0</v>
      </c>
      <c r="R70" s="37">
        <v>0.0</v>
      </c>
      <c r="S70" s="37">
        <v>0.0</v>
      </c>
      <c r="T70" s="37">
        <v>0.0</v>
      </c>
      <c r="U70" s="37">
        <v>0.0</v>
      </c>
      <c r="V70" s="37">
        <v>0.0</v>
      </c>
      <c r="W70" s="25" t="s">
        <v>550</v>
      </c>
    </row>
    <row r="71">
      <c r="A71" s="25" t="s">
        <v>1304</v>
      </c>
      <c r="B71" s="25" t="s">
        <v>52</v>
      </c>
      <c r="C71" s="36" t="s">
        <v>1306</v>
      </c>
      <c r="D71" s="37">
        <v>2016.0</v>
      </c>
      <c r="E71" s="38" t="s">
        <v>1305</v>
      </c>
      <c r="F71" s="38" t="s">
        <v>59</v>
      </c>
      <c r="G71" s="39" t="str">
        <f>VLOOKUP(A71,'Dataset '!A:I,9,0)</f>
        <v>11 - 50</v>
      </c>
      <c r="H71" s="37">
        <v>18.0</v>
      </c>
      <c r="I71" s="37">
        <v>9.0</v>
      </c>
      <c r="J71" s="38">
        <v>3132000.0</v>
      </c>
      <c r="K71" s="38">
        <v>2700000.0</v>
      </c>
      <c r="L71" s="40">
        <f>VLOOKUP($A71,'Dataset '!$A:$I,5,0)</f>
        <v>44712</v>
      </c>
      <c r="M71" s="25" t="s">
        <v>1989</v>
      </c>
      <c r="N71" s="38">
        <f t="shared" si="3"/>
        <v>150000</v>
      </c>
      <c r="O71" s="38">
        <f t="shared" ref="O71:P71" si="72">J71/I71</f>
        <v>348000</v>
      </c>
      <c r="P71" s="41">
        <f t="shared" si="72"/>
        <v>0.8620689655</v>
      </c>
      <c r="Q71" s="37">
        <v>21.0</v>
      </c>
      <c r="R71" s="37">
        <v>1.0</v>
      </c>
      <c r="S71" s="37">
        <v>1.0</v>
      </c>
      <c r="T71" s="37">
        <v>3.0</v>
      </c>
      <c r="U71" s="37">
        <v>0.0</v>
      </c>
      <c r="V71" s="37">
        <v>2.0</v>
      </c>
      <c r="W71" s="25" t="s">
        <v>569</v>
      </c>
    </row>
    <row r="72">
      <c r="A72" s="25" t="s">
        <v>1372</v>
      </c>
      <c r="B72" s="25" t="s">
        <v>52</v>
      </c>
      <c r="C72" s="36" t="s">
        <v>1990</v>
      </c>
      <c r="D72" s="37">
        <v>2017.0</v>
      </c>
      <c r="E72" s="38" t="s">
        <v>1373</v>
      </c>
      <c r="F72" s="38" t="s">
        <v>38</v>
      </c>
      <c r="G72" s="39" t="str">
        <f>VLOOKUP(A72,'Dataset '!A:I,9,0)</f>
        <v>11 - 50</v>
      </c>
      <c r="H72" s="37">
        <v>43.0</v>
      </c>
      <c r="I72" s="37">
        <v>8.0</v>
      </c>
      <c r="J72" s="38">
        <v>8444063.0</v>
      </c>
      <c r="K72" s="38">
        <v>3132000.0</v>
      </c>
      <c r="L72" s="40">
        <f>VLOOKUP($A72,'Dataset '!$A:$I,5,0)</f>
        <v>45779</v>
      </c>
      <c r="M72" s="25" t="s">
        <v>1991</v>
      </c>
      <c r="N72" s="38">
        <f t="shared" si="3"/>
        <v>72837.2093</v>
      </c>
      <c r="O72" s="38">
        <f t="shared" ref="O72:P72" si="73">J72/I72</f>
        <v>1055507.875</v>
      </c>
      <c r="P72" s="41">
        <f t="shared" si="73"/>
        <v>0.3709114913</v>
      </c>
      <c r="Q72" s="37">
        <v>11.0</v>
      </c>
      <c r="R72" s="37">
        <v>1.0</v>
      </c>
      <c r="S72" s="37">
        <v>0.0</v>
      </c>
      <c r="T72" s="37">
        <v>0.0</v>
      </c>
      <c r="U72" s="37">
        <v>1.0</v>
      </c>
      <c r="V72" s="37">
        <v>1.0</v>
      </c>
      <c r="W72" s="25" t="s">
        <v>569</v>
      </c>
    </row>
    <row r="73">
      <c r="A73" s="25" t="s">
        <v>1382</v>
      </c>
      <c r="B73" s="25" t="s">
        <v>52</v>
      </c>
      <c r="C73" s="36" t="s">
        <v>1386</v>
      </c>
      <c r="D73" s="37">
        <v>2014.0</v>
      </c>
      <c r="E73" s="38" t="s">
        <v>1385</v>
      </c>
      <c r="F73" s="38" t="s">
        <v>59</v>
      </c>
      <c r="G73" s="39" t="str">
        <f>VLOOKUP(A73,'Dataset '!A:I,9,0)</f>
        <v>11 - 50</v>
      </c>
      <c r="H73" s="37">
        <v>33.0</v>
      </c>
      <c r="I73" s="37">
        <v>11.0</v>
      </c>
      <c r="J73" s="38">
        <v>4968000.0</v>
      </c>
      <c r="K73" s="38">
        <v>3132000.0</v>
      </c>
      <c r="L73" s="40">
        <f>VLOOKUP($A73,'Dataset '!$A:$I,5,0)</f>
        <v>44806</v>
      </c>
      <c r="M73" s="25" t="s">
        <v>1993</v>
      </c>
      <c r="N73" s="38">
        <f t="shared" si="3"/>
        <v>94909.09091</v>
      </c>
      <c r="O73" s="38">
        <f t="shared" ref="O73:P73" si="74">J73/I73</f>
        <v>451636.3636</v>
      </c>
      <c r="P73" s="41">
        <f t="shared" si="74"/>
        <v>0.6304347826</v>
      </c>
      <c r="Q73" s="37">
        <v>40.0</v>
      </c>
      <c r="R73" s="37">
        <v>0.0</v>
      </c>
      <c r="S73" s="37">
        <v>3.0</v>
      </c>
      <c r="T73" s="37">
        <v>7.0</v>
      </c>
      <c r="U73" s="37">
        <v>1.0</v>
      </c>
      <c r="V73" s="37">
        <v>2.0</v>
      </c>
      <c r="W73" s="25" t="s">
        <v>558</v>
      </c>
    </row>
    <row r="74">
      <c r="A74" s="25" t="s">
        <v>1388</v>
      </c>
      <c r="B74" s="25" t="s">
        <v>52</v>
      </c>
      <c r="C74" s="36" t="s">
        <v>1391</v>
      </c>
      <c r="D74" s="37">
        <v>2017.0</v>
      </c>
      <c r="E74" s="38" t="s">
        <v>1390</v>
      </c>
      <c r="F74" s="38" t="s">
        <v>76</v>
      </c>
      <c r="G74" s="39" t="str">
        <f>VLOOKUP(A74,'Dataset '!A:I,9,0)</f>
        <v>11 - 50</v>
      </c>
      <c r="H74" s="37">
        <v>50.0</v>
      </c>
      <c r="I74" s="37">
        <v>8.0</v>
      </c>
      <c r="J74" s="38">
        <v>1.1664E7</v>
      </c>
      <c r="K74" s="38">
        <v>3240000.0</v>
      </c>
      <c r="L74" s="40">
        <f>VLOOKUP($A74,'Dataset '!$A:$I,5,0)</f>
        <v>44314</v>
      </c>
      <c r="M74" s="25" t="s">
        <v>1994</v>
      </c>
      <c r="N74" s="38">
        <f t="shared" si="3"/>
        <v>64800</v>
      </c>
      <c r="O74" s="38">
        <f t="shared" ref="O74:P74" si="75">J74/I74</f>
        <v>1458000</v>
      </c>
      <c r="P74" s="41">
        <f t="shared" si="75"/>
        <v>0.2777777778</v>
      </c>
      <c r="Q74" s="37">
        <v>19.0</v>
      </c>
      <c r="R74" s="37">
        <v>0.0</v>
      </c>
      <c r="S74" s="37">
        <v>0.0</v>
      </c>
      <c r="T74" s="37">
        <v>1.0</v>
      </c>
      <c r="U74" s="37">
        <v>0.0</v>
      </c>
      <c r="V74" s="37">
        <v>2.0</v>
      </c>
      <c r="W74" s="25" t="s">
        <v>595</v>
      </c>
    </row>
    <row r="75">
      <c r="A75" s="25" t="s">
        <v>1393</v>
      </c>
      <c r="B75" s="25" t="s">
        <v>52</v>
      </c>
      <c r="C75" s="36" t="s">
        <v>1395</v>
      </c>
      <c r="D75" s="37">
        <v>2022.0</v>
      </c>
      <c r="E75" s="38" t="s">
        <v>1394</v>
      </c>
      <c r="F75" s="38" t="s">
        <v>59</v>
      </c>
      <c r="G75" s="39" t="str">
        <f>VLOOKUP(A75,'Dataset '!A:I,9,0)</f>
        <v>11 - 50</v>
      </c>
      <c r="H75" s="37">
        <v>35.0</v>
      </c>
      <c r="I75" s="37">
        <v>3.0</v>
      </c>
      <c r="J75" s="38">
        <v>3240000.0</v>
      </c>
      <c r="K75" s="38">
        <v>3240000.0</v>
      </c>
      <c r="L75" s="40">
        <f>VLOOKUP($A75,'Dataset '!$A:$I,5,0)</f>
        <v>45705</v>
      </c>
      <c r="M75" s="25" t="s">
        <v>1995</v>
      </c>
      <c r="N75" s="38">
        <f t="shared" si="3"/>
        <v>92571.42857</v>
      </c>
      <c r="O75" s="38">
        <f t="shared" ref="O75:P75" si="76">J75/I75</f>
        <v>1080000</v>
      </c>
      <c r="P75" s="41">
        <f t="shared" si="76"/>
        <v>1</v>
      </c>
      <c r="Q75" s="37">
        <v>14.0</v>
      </c>
      <c r="R75" s="37">
        <v>0.0</v>
      </c>
      <c r="S75" s="37">
        <v>1.0</v>
      </c>
      <c r="T75" s="37">
        <v>2.0</v>
      </c>
      <c r="U75" s="37">
        <v>0.0</v>
      </c>
      <c r="V75" s="37">
        <v>0.0</v>
      </c>
      <c r="W75" s="25" t="s">
        <v>558</v>
      </c>
    </row>
    <row r="76">
      <c r="A76" s="25" t="s">
        <v>1398</v>
      </c>
      <c r="B76" s="25" t="s">
        <v>52</v>
      </c>
      <c r="C76" s="36" t="s">
        <v>1997</v>
      </c>
      <c r="D76" s="37">
        <v>2018.0</v>
      </c>
      <c r="E76" s="38" t="s">
        <v>1400</v>
      </c>
      <c r="F76" s="38" t="s">
        <v>59</v>
      </c>
      <c r="G76" s="39" t="str">
        <f>VLOOKUP(A76,'Dataset '!A:I,9,0)</f>
        <v>11 - 50</v>
      </c>
      <c r="H76" s="37">
        <v>23.0</v>
      </c>
      <c r="I76" s="37">
        <v>7.0</v>
      </c>
      <c r="J76" s="38">
        <v>3807000.0</v>
      </c>
      <c r="K76" s="38">
        <v>3240000.0</v>
      </c>
      <c r="L76" s="40">
        <f>VLOOKUP($A76,'Dataset '!$A:$I,5,0)</f>
        <v>45328</v>
      </c>
      <c r="M76" s="25" t="s">
        <v>1998</v>
      </c>
      <c r="N76" s="38">
        <f t="shared" si="3"/>
        <v>140869.5652</v>
      </c>
      <c r="O76" s="38">
        <f t="shared" ref="O76:P76" si="77">J76/I76</f>
        <v>543857.1429</v>
      </c>
      <c r="P76" s="41">
        <f t="shared" si="77"/>
        <v>0.8510638298</v>
      </c>
      <c r="Q76" s="37">
        <v>11.0</v>
      </c>
      <c r="R76" s="37">
        <v>0.0</v>
      </c>
      <c r="S76" s="37">
        <v>0.0</v>
      </c>
      <c r="T76" s="37">
        <v>0.0</v>
      </c>
      <c r="U76" s="37">
        <v>0.0</v>
      </c>
      <c r="V76" s="37">
        <v>0.0</v>
      </c>
      <c r="W76" s="25" t="s">
        <v>558</v>
      </c>
    </row>
    <row r="77">
      <c r="A77" s="25" t="s">
        <v>1053</v>
      </c>
      <c r="B77" s="25" t="s">
        <v>52</v>
      </c>
      <c r="C77" s="36" t="s">
        <v>1056</v>
      </c>
      <c r="D77" s="37">
        <v>2018.0</v>
      </c>
      <c r="E77" s="38" t="s">
        <v>1075</v>
      </c>
      <c r="F77" s="38" t="s">
        <v>38</v>
      </c>
      <c r="G77" s="39" t="str">
        <f>VLOOKUP(A77,'Dataset '!A:I,9,0)</f>
        <v>11 - 50</v>
      </c>
      <c r="H77" s="37">
        <v>32.0</v>
      </c>
      <c r="I77" s="37">
        <v>7.0</v>
      </c>
      <c r="J77" s="38">
        <v>1512000.0</v>
      </c>
      <c r="K77" s="38">
        <v>1512000.0</v>
      </c>
      <c r="L77" s="40">
        <f>VLOOKUP($A77,'Dataset '!$A:$I,5,0)</f>
        <v>43704</v>
      </c>
      <c r="M77" s="25" t="s">
        <v>1955</v>
      </c>
      <c r="N77" s="38">
        <f t="shared" si="3"/>
        <v>47250</v>
      </c>
      <c r="O77" s="38">
        <f t="shared" ref="O77:P77" si="78">J77/I77</f>
        <v>216000</v>
      </c>
      <c r="P77" s="41">
        <f t="shared" si="78"/>
        <v>1</v>
      </c>
      <c r="Q77" s="37">
        <v>19.0</v>
      </c>
      <c r="R77" s="37">
        <v>2.0</v>
      </c>
      <c r="S77" s="37">
        <v>0.0</v>
      </c>
      <c r="T77" s="37">
        <v>2.0</v>
      </c>
      <c r="U77" s="37">
        <v>0.0</v>
      </c>
      <c r="V77" s="37">
        <v>1.0</v>
      </c>
      <c r="W77" s="25" t="s">
        <v>558</v>
      </c>
    </row>
    <row r="78">
      <c r="A78" s="25" t="s">
        <v>1442</v>
      </c>
      <c r="B78" s="25" t="s">
        <v>52</v>
      </c>
      <c r="C78" s="36" t="s">
        <v>1444</v>
      </c>
      <c r="D78" s="37">
        <v>2021.0</v>
      </c>
      <c r="E78" s="38" t="s">
        <v>1443</v>
      </c>
      <c r="F78" s="38" t="s">
        <v>59</v>
      </c>
      <c r="G78" s="39" t="str">
        <f>VLOOKUP(A78,'Dataset '!A:I,9,0)</f>
        <v>11 - 50</v>
      </c>
      <c r="H78" s="37">
        <v>30.0</v>
      </c>
      <c r="I78" s="37">
        <v>4.0</v>
      </c>
      <c r="J78" s="38">
        <v>5400000.0</v>
      </c>
      <c r="K78" s="38">
        <v>3780000.0</v>
      </c>
      <c r="L78" s="40">
        <f>VLOOKUP($A78,'Dataset '!$A:$I,5,0)</f>
        <v>45994</v>
      </c>
      <c r="M78" s="25" t="s">
        <v>1999</v>
      </c>
      <c r="N78" s="38">
        <f t="shared" si="3"/>
        <v>126000</v>
      </c>
      <c r="O78" s="38">
        <f t="shared" ref="O78:P78" si="79">J78/I78</f>
        <v>1350000</v>
      </c>
      <c r="P78" s="41">
        <f t="shared" si="79"/>
        <v>0.7</v>
      </c>
      <c r="Q78" s="37">
        <v>12.0</v>
      </c>
      <c r="R78" s="37">
        <v>2.0</v>
      </c>
      <c r="S78" s="37">
        <v>0.0</v>
      </c>
      <c r="T78" s="37">
        <v>0.0</v>
      </c>
      <c r="U78" s="37">
        <v>0.0</v>
      </c>
      <c r="V78" s="37">
        <v>0.0</v>
      </c>
      <c r="W78" s="25" t="s">
        <v>558</v>
      </c>
    </row>
    <row r="79">
      <c r="A79" s="25" t="s">
        <v>1475</v>
      </c>
      <c r="B79" s="25" t="s">
        <v>52</v>
      </c>
      <c r="C79" s="36" t="s">
        <v>1537</v>
      </c>
      <c r="D79" s="37">
        <v>2016.0</v>
      </c>
      <c r="E79" s="38" t="s">
        <v>1476</v>
      </c>
      <c r="F79" s="38" t="s">
        <v>76</v>
      </c>
      <c r="G79" s="39" t="str">
        <f>VLOOKUP(A79,'Dataset '!A:I,9,0)</f>
        <v>11 - 50</v>
      </c>
      <c r="H79" s="37">
        <v>34.0</v>
      </c>
      <c r="I79" s="37">
        <v>9.0</v>
      </c>
      <c r="J79" s="38">
        <v>5400000.0</v>
      </c>
      <c r="K79" s="38">
        <v>5400000.0</v>
      </c>
      <c r="L79" s="40">
        <f>VLOOKUP($A79,'Dataset '!$A:$I,5,0)</f>
        <v>44809</v>
      </c>
      <c r="M79" s="25" t="s">
        <v>1999</v>
      </c>
      <c r="N79" s="38">
        <f t="shared" si="3"/>
        <v>158823.5294</v>
      </c>
      <c r="O79" s="38">
        <f t="shared" ref="O79:P79" si="80">J79/I79</f>
        <v>600000</v>
      </c>
      <c r="P79" s="41">
        <f t="shared" si="80"/>
        <v>1</v>
      </c>
      <c r="Q79" s="37">
        <v>14.0</v>
      </c>
      <c r="R79" s="37">
        <v>1.0</v>
      </c>
      <c r="S79" s="37">
        <v>1.0</v>
      </c>
      <c r="T79" s="37">
        <v>2.0</v>
      </c>
      <c r="U79" s="37">
        <v>0.0</v>
      </c>
      <c r="V79" s="37">
        <v>1.0</v>
      </c>
      <c r="W79" s="25" t="s">
        <v>558</v>
      </c>
    </row>
    <row r="80">
      <c r="A80" s="25" t="s">
        <v>1480</v>
      </c>
      <c r="B80" s="25" t="s">
        <v>52</v>
      </c>
      <c r="C80" s="36" t="s">
        <v>1555</v>
      </c>
      <c r="D80" s="37">
        <v>2021.0</v>
      </c>
      <c r="E80" s="38" t="s">
        <v>1481</v>
      </c>
      <c r="F80" s="38" t="s">
        <v>59</v>
      </c>
      <c r="G80" s="39" t="str">
        <f>VLOOKUP(A80,'Dataset '!A:I,9,0)</f>
        <v>11 - 50</v>
      </c>
      <c r="H80" s="37">
        <v>37.0</v>
      </c>
      <c r="I80" s="37">
        <v>4.0</v>
      </c>
      <c r="J80" s="38">
        <v>8941252.0</v>
      </c>
      <c r="K80" s="38">
        <v>5400000.0</v>
      </c>
      <c r="L80" s="40">
        <f>VLOOKUP($A80,'Dataset '!$A:$I,5,0)</f>
        <v>45401</v>
      </c>
      <c r="M80" s="25" t="s">
        <v>2001</v>
      </c>
      <c r="N80" s="38">
        <f t="shared" si="3"/>
        <v>145945.9459</v>
      </c>
      <c r="O80" s="38">
        <f t="shared" ref="O80:P80" si="81">J80/I80</f>
        <v>2235313</v>
      </c>
      <c r="P80" s="41">
        <f t="shared" si="81"/>
        <v>0.6039422667</v>
      </c>
      <c r="Q80" s="37">
        <v>27.0</v>
      </c>
      <c r="R80" s="37">
        <v>0.0</v>
      </c>
      <c r="S80" s="37">
        <v>0.0</v>
      </c>
      <c r="T80" s="37">
        <v>2.0</v>
      </c>
      <c r="U80" s="37">
        <v>2.0</v>
      </c>
      <c r="V80" s="37">
        <v>2.0</v>
      </c>
      <c r="W80" s="25" t="s">
        <v>595</v>
      </c>
    </row>
    <row r="81">
      <c r="A81" s="25" t="s">
        <v>1487</v>
      </c>
      <c r="B81" s="25" t="s">
        <v>52</v>
      </c>
      <c r="C81" s="36" t="s">
        <v>1560</v>
      </c>
      <c r="D81" s="37">
        <v>2021.0</v>
      </c>
      <c r="E81" s="38" t="s">
        <v>1488</v>
      </c>
      <c r="F81" s="38" t="s">
        <v>38</v>
      </c>
      <c r="G81" s="39" t="str">
        <f>VLOOKUP(A81,'Dataset '!A:I,9,0)</f>
        <v>11 - 50</v>
      </c>
      <c r="H81" s="37">
        <v>33.0</v>
      </c>
      <c r="I81" s="37">
        <v>4.0</v>
      </c>
      <c r="J81" s="38">
        <v>7776000.0</v>
      </c>
      <c r="K81" s="38">
        <v>5400000.0</v>
      </c>
      <c r="L81" s="40">
        <f>VLOOKUP($A81,'Dataset '!$A:$I,5,0)</f>
        <v>44859</v>
      </c>
      <c r="M81" s="25" t="s">
        <v>2002</v>
      </c>
      <c r="N81" s="38">
        <f t="shared" si="3"/>
        <v>163636.3636</v>
      </c>
      <c r="O81" s="38">
        <f t="shared" ref="O81:P81" si="82">J81/I81</f>
        <v>1944000</v>
      </c>
      <c r="P81" s="41">
        <f t="shared" si="82"/>
        <v>0.6944444444</v>
      </c>
      <c r="Q81" s="37">
        <v>29.0</v>
      </c>
      <c r="R81" s="37">
        <v>1.0</v>
      </c>
      <c r="S81" s="37">
        <v>0.0</v>
      </c>
      <c r="T81" s="37">
        <v>3.0</v>
      </c>
      <c r="U81" s="37">
        <v>1.0</v>
      </c>
      <c r="V81" s="37">
        <v>4.0</v>
      </c>
      <c r="W81" s="25" t="s">
        <v>595</v>
      </c>
    </row>
    <row r="82">
      <c r="A82" s="25" t="s">
        <v>1491</v>
      </c>
      <c r="B82" s="25" t="s">
        <v>52</v>
      </c>
      <c r="C82" s="36" t="s">
        <v>1570</v>
      </c>
      <c r="D82" s="37">
        <v>2019.0</v>
      </c>
      <c r="E82" s="38" t="s">
        <v>1492</v>
      </c>
      <c r="F82" s="38" t="s">
        <v>38</v>
      </c>
      <c r="G82" s="39" t="str">
        <f>VLOOKUP(A82,'Dataset '!A:I,9,0)</f>
        <v>11 - 50</v>
      </c>
      <c r="H82" s="25">
        <v>30.0</v>
      </c>
      <c r="I82" s="37">
        <v>6.0</v>
      </c>
      <c r="J82" s="38">
        <v>5400000.0</v>
      </c>
      <c r="K82" s="38">
        <v>5400000.0</v>
      </c>
      <c r="L82" s="40">
        <f>VLOOKUP($A82,'Dataset '!$A:$I,5,0)</f>
        <v>45597</v>
      </c>
      <c r="M82" s="25" t="s">
        <v>1999</v>
      </c>
      <c r="N82" s="38">
        <f t="shared" si="3"/>
        <v>180000</v>
      </c>
      <c r="O82" s="38">
        <f t="shared" ref="O82:P82" si="83">J82/I82</f>
        <v>900000</v>
      </c>
      <c r="P82" s="41">
        <f t="shared" si="83"/>
        <v>1</v>
      </c>
      <c r="Q82" s="37">
        <v>0.0</v>
      </c>
      <c r="R82" s="37">
        <v>0.0</v>
      </c>
      <c r="S82" s="37">
        <v>0.0</v>
      </c>
      <c r="T82" s="37">
        <v>0.0</v>
      </c>
      <c r="U82" s="37">
        <v>0.0</v>
      </c>
      <c r="V82" s="37">
        <v>0.0</v>
      </c>
      <c r="W82" s="25" t="s">
        <v>550</v>
      </c>
    </row>
    <row r="83">
      <c r="A83" s="36" t="s">
        <v>1496</v>
      </c>
      <c r="B83" s="25" t="s">
        <v>52</v>
      </c>
      <c r="C83" s="36" t="s">
        <v>1602</v>
      </c>
      <c r="D83" s="37">
        <v>2021.0</v>
      </c>
      <c r="E83" s="38" t="s">
        <v>1504</v>
      </c>
      <c r="F83" s="38" t="s">
        <v>38</v>
      </c>
      <c r="G83" s="39" t="str">
        <f>VLOOKUP(A83,'Dataset '!A:I,9,0)</f>
        <v>11 - 50</v>
      </c>
      <c r="H83" s="37">
        <v>43.0</v>
      </c>
      <c r="I83" s="37">
        <v>4.0</v>
      </c>
      <c r="J83" s="38">
        <v>7128000.0</v>
      </c>
      <c r="K83" s="38">
        <v>5508000.0</v>
      </c>
      <c r="L83" s="40">
        <f>VLOOKUP($A83,'Dataset '!$A:$I,5,0)</f>
        <v>45867</v>
      </c>
      <c r="M83" s="25" t="s">
        <v>2003</v>
      </c>
      <c r="N83" s="38">
        <f t="shared" si="3"/>
        <v>128093.0233</v>
      </c>
      <c r="O83" s="38">
        <f t="shared" ref="O83:P83" si="84">J83/I83</f>
        <v>1782000</v>
      </c>
      <c r="P83" s="41">
        <f t="shared" si="84"/>
        <v>0.7727272727</v>
      </c>
      <c r="Q83" s="37">
        <v>26.0</v>
      </c>
      <c r="R83" s="37">
        <v>1.0</v>
      </c>
      <c r="S83" s="37">
        <v>0.0</v>
      </c>
      <c r="T83" s="37">
        <v>2.0</v>
      </c>
      <c r="U83" s="37">
        <v>0.0</v>
      </c>
      <c r="V83" s="37">
        <v>0.0</v>
      </c>
      <c r="W83" s="25" t="s">
        <v>558</v>
      </c>
    </row>
    <row r="84">
      <c r="A84" s="25" t="s">
        <v>1513</v>
      </c>
      <c r="B84" s="25" t="s">
        <v>52</v>
      </c>
      <c r="C84" s="36" t="s">
        <v>1657</v>
      </c>
      <c r="D84" s="37">
        <v>2014.0</v>
      </c>
      <c r="E84" s="38" t="s">
        <v>1514</v>
      </c>
      <c r="F84" s="38" t="s">
        <v>38</v>
      </c>
      <c r="G84" s="39" t="str">
        <f>VLOOKUP(A84,'Dataset '!A:I,9,0)</f>
        <v>11 - 50</v>
      </c>
      <c r="H84" s="37">
        <v>43.0</v>
      </c>
      <c r="I84" s="37">
        <v>11.0</v>
      </c>
      <c r="J84" s="38">
        <v>1.14102E7</v>
      </c>
      <c r="K84" s="38">
        <v>6048000.0</v>
      </c>
      <c r="L84" s="40">
        <f>VLOOKUP($A84,'Dataset '!$A:$I,5,0)</f>
        <v>45831</v>
      </c>
      <c r="M84" s="25" t="s">
        <v>2004</v>
      </c>
      <c r="N84" s="38">
        <f t="shared" si="3"/>
        <v>140651.1628</v>
      </c>
      <c r="O84" s="38">
        <f t="shared" ref="O84:P84" si="85">J84/I84</f>
        <v>1037290.909</v>
      </c>
      <c r="P84" s="41">
        <f t="shared" si="85"/>
        <v>0.5300520587</v>
      </c>
      <c r="Q84" s="37">
        <v>21.0</v>
      </c>
      <c r="R84" s="37">
        <v>0.0</v>
      </c>
      <c r="S84" s="37">
        <v>1.0</v>
      </c>
      <c r="T84" s="37">
        <v>3.0</v>
      </c>
      <c r="U84" s="37">
        <v>1.0</v>
      </c>
      <c r="V84" s="37">
        <v>2.0</v>
      </c>
      <c r="W84" s="25" t="s">
        <v>569</v>
      </c>
    </row>
    <row r="85">
      <c r="A85" s="25" t="s">
        <v>1534</v>
      </c>
      <c r="B85" s="25" t="s">
        <v>52</v>
      </c>
      <c r="C85" s="36" t="s">
        <v>1711</v>
      </c>
      <c r="D85" s="37">
        <v>2015.0</v>
      </c>
      <c r="E85" s="38" t="s">
        <v>1535</v>
      </c>
      <c r="F85" s="38" t="s">
        <v>76</v>
      </c>
      <c r="G85" s="39" t="str">
        <f>VLOOKUP(A85,'Dataset '!A:I,9,0)</f>
        <v>2 - 10</v>
      </c>
      <c r="H85" s="37">
        <v>10.0</v>
      </c>
      <c r="I85" s="37">
        <v>10.0</v>
      </c>
      <c r="J85" s="38">
        <v>8804576.0</v>
      </c>
      <c r="K85" s="38">
        <v>6480000.0</v>
      </c>
      <c r="L85" s="40">
        <f>VLOOKUP($A85,'Dataset '!$A:$I,5,0)</f>
        <v>44944</v>
      </c>
      <c r="M85" s="25" t="s">
        <v>2005</v>
      </c>
      <c r="N85" s="38">
        <f t="shared" si="3"/>
        <v>648000</v>
      </c>
      <c r="O85" s="38">
        <f t="shared" ref="O85:P85" si="86">J85/I85</f>
        <v>880457.6</v>
      </c>
      <c r="P85" s="41">
        <f t="shared" si="86"/>
        <v>0.7359809263</v>
      </c>
      <c r="Q85" s="37">
        <v>8.0</v>
      </c>
      <c r="R85" s="37">
        <v>0.0</v>
      </c>
      <c r="S85" s="37">
        <v>0.0</v>
      </c>
      <c r="T85" s="37">
        <v>0.0</v>
      </c>
      <c r="U85" s="37">
        <v>1.0</v>
      </c>
      <c r="V85" s="37">
        <v>0.0</v>
      </c>
      <c r="W85" s="25" t="s">
        <v>558</v>
      </c>
    </row>
    <row r="86">
      <c r="A86" s="25" t="s">
        <v>1548</v>
      </c>
      <c r="B86" s="25" t="s">
        <v>52</v>
      </c>
      <c r="C86" s="36" t="s">
        <v>1754</v>
      </c>
      <c r="D86" s="37">
        <v>2020.0</v>
      </c>
      <c r="E86" s="38" t="s">
        <v>1549</v>
      </c>
      <c r="F86" s="38" t="s">
        <v>59</v>
      </c>
      <c r="G86" s="39" t="str">
        <f>VLOOKUP(A86,'Dataset '!A:I,9,0)</f>
        <v>11 - 50</v>
      </c>
      <c r="H86" s="37">
        <v>1.0</v>
      </c>
      <c r="I86" s="37">
        <v>5.0</v>
      </c>
      <c r="J86" s="38">
        <v>8208000.0</v>
      </c>
      <c r="K86" s="38">
        <v>8208000.0</v>
      </c>
      <c r="L86" s="40">
        <f>VLOOKUP($A86,'Dataset '!$A:$I,5,0)</f>
        <v>44403</v>
      </c>
      <c r="M86" s="25" t="s">
        <v>2006</v>
      </c>
      <c r="N86" s="38">
        <f t="shared" si="3"/>
        <v>8208000</v>
      </c>
      <c r="O86" s="38">
        <f t="shared" ref="O86:P86" si="87">J86/I86</f>
        <v>1641600</v>
      </c>
      <c r="P86" s="41">
        <f t="shared" si="87"/>
        <v>1</v>
      </c>
      <c r="Q86" s="37">
        <v>9.0</v>
      </c>
      <c r="R86" s="37">
        <v>0.0</v>
      </c>
      <c r="S86" s="37">
        <v>1.0</v>
      </c>
      <c r="T86" s="37">
        <v>0.0</v>
      </c>
      <c r="U86" s="37">
        <v>0.0</v>
      </c>
      <c r="V86" s="37">
        <v>0.0</v>
      </c>
      <c r="W86" s="25" t="s">
        <v>550</v>
      </c>
    </row>
    <row r="87">
      <c r="A87" s="25" t="s">
        <v>1564</v>
      </c>
      <c r="B87" s="25" t="s">
        <v>52</v>
      </c>
      <c r="C87" s="36" t="s">
        <v>1823</v>
      </c>
      <c r="D87" s="37">
        <v>2010.0</v>
      </c>
      <c r="E87" s="38" t="s">
        <v>1566</v>
      </c>
      <c r="F87" s="38" t="s">
        <v>76</v>
      </c>
      <c r="G87" s="39" t="str">
        <f>VLOOKUP(A87,'Dataset '!A:I,9,0)</f>
        <v>11 - 50</v>
      </c>
      <c r="H87" s="37">
        <v>28.0</v>
      </c>
      <c r="I87" s="37">
        <v>15.0</v>
      </c>
      <c r="J87" s="38">
        <v>1.0661143E7</v>
      </c>
      <c r="K87" s="38">
        <v>1.0584E7</v>
      </c>
      <c r="L87" s="40">
        <f>VLOOKUP($A87,'Dataset '!$A:$I,5,0)</f>
        <v>44908</v>
      </c>
      <c r="M87" s="25" t="s">
        <v>2007</v>
      </c>
      <c r="N87" s="38">
        <f t="shared" si="3"/>
        <v>378000</v>
      </c>
      <c r="O87" s="38">
        <f t="shared" ref="O87:P87" si="88">J87/I87</f>
        <v>710742.8667</v>
      </c>
      <c r="P87" s="41">
        <f t="shared" si="88"/>
        <v>0.9927640967</v>
      </c>
      <c r="Q87" s="37">
        <v>14.0</v>
      </c>
      <c r="R87" s="37">
        <v>0.0</v>
      </c>
      <c r="S87" s="37">
        <v>0.0</v>
      </c>
      <c r="T87" s="37">
        <v>2.0</v>
      </c>
      <c r="U87" s="37">
        <v>0.0</v>
      </c>
      <c r="V87" s="37">
        <v>0.0</v>
      </c>
      <c r="W87" s="25" t="s">
        <v>569</v>
      </c>
    </row>
    <row r="88">
      <c r="A88" s="25" t="s">
        <v>1088</v>
      </c>
      <c r="B88" s="25" t="s">
        <v>48</v>
      </c>
      <c r="C88" s="36" t="s">
        <v>1090</v>
      </c>
      <c r="D88" s="37">
        <v>2022.0</v>
      </c>
      <c r="E88" s="38" t="s">
        <v>1089</v>
      </c>
      <c r="F88" s="38" t="s">
        <v>59</v>
      </c>
      <c r="G88" s="39" t="str">
        <f>VLOOKUP(A88,'Dataset '!A:I,9,0)</f>
        <v>11 - 50</v>
      </c>
      <c r="H88" s="37">
        <v>40.0</v>
      </c>
      <c r="I88" s="37">
        <v>3.0</v>
      </c>
      <c r="J88" s="38">
        <v>3300000.0</v>
      </c>
      <c r="K88" s="38">
        <v>1800000.0</v>
      </c>
      <c r="L88" s="40">
        <f>VLOOKUP($A88,'Dataset '!$A:$I,5,0)</f>
        <v>45425</v>
      </c>
      <c r="M88" s="25" t="s">
        <v>2008</v>
      </c>
      <c r="N88" s="38">
        <f t="shared" si="3"/>
        <v>45000</v>
      </c>
      <c r="O88" s="38">
        <f t="shared" ref="O88:P88" si="89">J88/I88</f>
        <v>1100000</v>
      </c>
      <c r="P88" s="41">
        <f t="shared" si="89"/>
        <v>0.5454545455</v>
      </c>
      <c r="Q88" s="37">
        <v>30.0</v>
      </c>
      <c r="R88" s="37">
        <v>2.0</v>
      </c>
      <c r="S88" s="37">
        <v>1.0</v>
      </c>
      <c r="T88" s="37">
        <v>2.0</v>
      </c>
      <c r="U88" s="37">
        <v>0.0</v>
      </c>
      <c r="V88" s="37">
        <v>3.0</v>
      </c>
      <c r="W88" s="25" t="s">
        <v>558</v>
      </c>
    </row>
    <row r="89">
      <c r="A89" s="25" t="s">
        <v>1351</v>
      </c>
      <c r="B89" s="25" t="s">
        <v>48</v>
      </c>
      <c r="C89" s="36" t="s">
        <v>1356</v>
      </c>
      <c r="D89" s="37">
        <v>2017.0</v>
      </c>
      <c r="E89" s="38" t="s">
        <v>1352</v>
      </c>
      <c r="F89" s="38" t="s">
        <v>76</v>
      </c>
      <c r="G89" s="39" t="str">
        <f>VLOOKUP(A89,'Dataset '!A:I,9,0)</f>
        <v>11 - 50</v>
      </c>
      <c r="H89" s="37">
        <v>74.0</v>
      </c>
      <c r="I89" s="37">
        <v>8.0</v>
      </c>
      <c r="J89" s="38">
        <v>6660000.0</v>
      </c>
      <c r="K89" s="38">
        <v>3060000.0</v>
      </c>
      <c r="L89" s="40">
        <f>VLOOKUP($A89,'Dataset '!$A:$I,5,0)</f>
        <v>45349</v>
      </c>
      <c r="M89" s="25" t="s">
        <v>2009</v>
      </c>
      <c r="N89" s="38">
        <f t="shared" si="3"/>
        <v>41351.35135</v>
      </c>
      <c r="O89" s="38">
        <f t="shared" ref="O89:P89" si="90">J89/I89</f>
        <v>832500</v>
      </c>
      <c r="P89" s="41">
        <f t="shared" si="90"/>
        <v>0.4594594595</v>
      </c>
      <c r="Q89" s="37">
        <v>14.0</v>
      </c>
      <c r="R89" s="37">
        <v>0.0</v>
      </c>
      <c r="S89" s="37">
        <v>0.0</v>
      </c>
      <c r="T89" s="37">
        <v>1.0</v>
      </c>
      <c r="U89" s="37">
        <v>1.0</v>
      </c>
      <c r="V89" s="37">
        <v>1.0</v>
      </c>
      <c r="W89" s="25" t="s">
        <v>558</v>
      </c>
    </row>
    <row r="90">
      <c r="A90" s="25" t="s">
        <v>1613</v>
      </c>
      <c r="B90" s="25" t="s">
        <v>48</v>
      </c>
      <c r="C90" s="36" t="s">
        <v>1956</v>
      </c>
      <c r="D90" s="37">
        <v>2021.0</v>
      </c>
      <c r="E90" s="38" t="s">
        <v>368</v>
      </c>
      <c r="F90" s="38" t="s">
        <v>38</v>
      </c>
      <c r="G90" s="39" t="str">
        <f>VLOOKUP(A90,'Dataset '!A:I,9,0)</f>
        <v>11 - 50</v>
      </c>
      <c r="H90" s="37">
        <v>47.0</v>
      </c>
      <c r="I90" s="37">
        <v>4.0</v>
      </c>
      <c r="J90" s="38">
        <v>4.5E7</v>
      </c>
      <c r="K90" s="38">
        <v>4.5E7</v>
      </c>
      <c r="L90" s="40">
        <f>VLOOKUP($A90,'Dataset '!$A:$I,5,0)</f>
        <v>45523</v>
      </c>
      <c r="M90" s="25" t="s">
        <v>2010</v>
      </c>
      <c r="N90" s="38">
        <f t="shared" si="3"/>
        <v>957446.8085</v>
      </c>
      <c r="O90" s="38">
        <f t="shared" ref="O90:P90" si="91">J90/I90</f>
        <v>11250000</v>
      </c>
      <c r="P90" s="41">
        <f t="shared" si="91"/>
        <v>1</v>
      </c>
      <c r="Q90" s="37">
        <v>7.0</v>
      </c>
      <c r="R90" s="37">
        <v>0.0</v>
      </c>
      <c r="S90" s="37">
        <v>0.0</v>
      </c>
      <c r="T90" s="37">
        <v>0.0</v>
      </c>
      <c r="U90" s="37">
        <v>1.0</v>
      </c>
      <c r="V90" s="37">
        <v>0.0</v>
      </c>
      <c r="W90" s="25" t="s">
        <v>550</v>
      </c>
    </row>
    <row r="91">
      <c r="A91" s="25" t="s">
        <v>843</v>
      </c>
      <c r="B91" s="25" t="s">
        <v>48</v>
      </c>
      <c r="C91" s="36" t="s">
        <v>845</v>
      </c>
      <c r="D91" s="37">
        <v>2020.0</v>
      </c>
      <c r="E91" s="38" t="s">
        <v>844</v>
      </c>
      <c r="F91" s="38" t="s">
        <v>59</v>
      </c>
      <c r="G91" s="39" t="str">
        <f>VLOOKUP(A91,'Dataset '!A:I,9,0)</f>
        <v>11 - 50</v>
      </c>
      <c r="H91" s="37">
        <v>11.0</v>
      </c>
      <c r="I91" s="37">
        <v>5.0</v>
      </c>
      <c r="J91" s="38">
        <v>3960000.0</v>
      </c>
      <c r="K91" s="38">
        <v>900000.0</v>
      </c>
      <c r="L91" s="40">
        <f>VLOOKUP($A91,'Dataset '!$A:$I,5,0)</f>
        <v>45558</v>
      </c>
      <c r="M91" s="25" t="s">
        <v>2011</v>
      </c>
      <c r="N91" s="38">
        <f t="shared" si="3"/>
        <v>81818.18182</v>
      </c>
      <c r="O91" s="38">
        <f t="shared" ref="O91:P91" si="92">J91/I91</f>
        <v>792000</v>
      </c>
      <c r="P91" s="41">
        <f t="shared" si="92"/>
        <v>0.2272727273</v>
      </c>
      <c r="Q91" s="37">
        <v>18.0</v>
      </c>
      <c r="R91" s="37">
        <v>1.0</v>
      </c>
      <c r="S91" s="37">
        <v>1.0</v>
      </c>
      <c r="T91" s="37">
        <v>0.0</v>
      </c>
      <c r="U91" s="37">
        <v>0.0</v>
      </c>
      <c r="V91" s="37">
        <v>2.0</v>
      </c>
      <c r="W91" s="25" t="s">
        <v>558</v>
      </c>
    </row>
    <row r="92">
      <c r="A92" s="25" t="s">
        <v>1665</v>
      </c>
      <c r="B92" s="25" t="s">
        <v>48</v>
      </c>
      <c r="C92" s="36" t="s">
        <v>1852</v>
      </c>
      <c r="D92" s="37">
        <v>2020.0</v>
      </c>
      <c r="E92" s="38" t="s">
        <v>1666</v>
      </c>
      <c r="F92" s="38" t="s">
        <v>38</v>
      </c>
      <c r="G92" s="39" t="str">
        <f>VLOOKUP(A92,'Dataset '!A:I,9,0)</f>
        <v>11 - 50</v>
      </c>
      <c r="H92" s="37">
        <v>50.0</v>
      </c>
      <c r="I92" s="37">
        <v>5.0</v>
      </c>
      <c r="J92" s="38">
        <v>1.998E7</v>
      </c>
      <c r="K92" s="38">
        <v>1.08E7</v>
      </c>
      <c r="L92" s="40">
        <f>VLOOKUP($A92,'Dataset '!$A:$I,5,0)</f>
        <v>45939</v>
      </c>
      <c r="M92" s="25" t="s">
        <v>2012</v>
      </c>
      <c r="N92" s="38">
        <f t="shared" si="3"/>
        <v>216000</v>
      </c>
      <c r="O92" s="38">
        <f t="shared" ref="O92:P92" si="93">J92/I92</f>
        <v>3996000</v>
      </c>
      <c r="P92" s="41">
        <f t="shared" si="93"/>
        <v>0.5405405405</v>
      </c>
      <c r="Q92" s="37">
        <v>10.0</v>
      </c>
      <c r="R92" s="37">
        <v>1.0</v>
      </c>
      <c r="S92" s="37">
        <v>1.0</v>
      </c>
      <c r="T92" s="37">
        <v>1.0</v>
      </c>
      <c r="U92" s="37">
        <v>0.0</v>
      </c>
      <c r="V92" s="37">
        <v>1.0</v>
      </c>
      <c r="W92" s="25" t="s">
        <v>558</v>
      </c>
    </row>
    <row r="93">
      <c r="A93" s="25" t="s">
        <v>1095</v>
      </c>
      <c r="B93" s="25" t="s">
        <v>48</v>
      </c>
      <c r="C93" s="36" t="s">
        <v>1100</v>
      </c>
      <c r="D93" s="37">
        <v>2025.0</v>
      </c>
      <c r="E93" s="38" t="s">
        <v>1097</v>
      </c>
      <c r="F93" s="38" t="s">
        <v>59</v>
      </c>
      <c r="G93" s="39" t="str">
        <f>VLOOKUP(A93,'Dataset '!A:I,9,0)</f>
        <v>11 - 50</v>
      </c>
      <c r="H93" s="37">
        <v>22.0</v>
      </c>
      <c r="I93" s="37">
        <v>0.0</v>
      </c>
      <c r="J93" s="38">
        <v>1800000.0</v>
      </c>
      <c r="K93" s="38">
        <v>1800000.0</v>
      </c>
      <c r="L93" s="40">
        <f>VLOOKUP($A93,'Dataset '!$A:$I,5,0)</f>
        <v>45769</v>
      </c>
      <c r="M93" s="25" t="s">
        <v>2013</v>
      </c>
      <c r="N93" s="38">
        <f t="shared" si="3"/>
        <v>81818.18182</v>
      </c>
      <c r="O93" s="25" t="str">
        <f t="shared" ref="O93:P93" si="94">J93/I93</f>
        <v>#DIV/0!</v>
      </c>
      <c r="P93" s="41">
        <f t="shared" si="94"/>
        <v>1</v>
      </c>
      <c r="Q93" s="37">
        <v>40.0</v>
      </c>
      <c r="R93" s="37">
        <v>3.0</v>
      </c>
      <c r="S93" s="37">
        <v>1.0</v>
      </c>
      <c r="T93" s="37">
        <v>3.0</v>
      </c>
      <c r="U93" s="37">
        <v>0.0</v>
      </c>
      <c r="V93" s="37">
        <v>2.0</v>
      </c>
      <c r="W93" s="25" t="s">
        <v>558</v>
      </c>
    </row>
    <row r="94">
      <c r="A94" s="25" t="s">
        <v>1251</v>
      </c>
      <c r="B94" s="25" t="s">
        <v>52</v>
      </c>
      <c r="C94" s="36" t="s">
        <v>2014</v>
      </c>
      <c r="D94" s="37">
        <v>2020.0</v>
      </c>
      <c r="E94" s="38" t="s">
        <v>1253</v>
      </c>
      <c r="F94" s="38" t="s">
        <v>59</v>
      </c>
      <c r="G94" s="39" t="str">
        <f>VLOOKUP(A94,'Dataset '!A:I,9,0)</f>
        <v>11 - 50</v>
      </c>
      <c r="H94" s="37">
        <v>23.0</v>
      </c>
      <c r="I94" s="37">
        <v>5.0</v>
      </c>
      <c r="J94" s="38">
        <v>2787278.0</v>
      </c>
      <c r="K94" s="38">
        <v>2340000.0</v>
      </c>
      <c r="L94" s="40">
        <f>VLOOKUP($A94,'Dataset '!$A:$I,5,0)</f>
        <v>45604</v>
      </c>
      <c r="M94" s="25" t="s">
        <v>2015</v>
      </c>
      <c r="N94" s="38">
        <f t="shared" si="3"/>
        <v>101739.1304</v>
      </c>
      <c r="O94" s="38">
        <f t="shared" ref="O94:P94" si="95">J94/I94</f>
        <v>557455.6</v>
      </c>
      <c r="P94" s="41">
        <f t="shared" si="95"/>
        <v>0.8395287445</v>
      </c>
      <c r="Q94" s="37">
        <v>19.0</v>
      </c>
      <c r="R94" s="37">
        <v>1.0</v>
      </c>
      <c r="S94" s="37">
        <v>1.0</v>
      </c>
      <c r="T94" s="37">
        <v>3.0</v>
      </c>
      <c r="U94" s="37">
        <v>0.0</v>
      </c>
      <c r="V94" s="37">
        <v>0.0</v>
      </c>
      <c r="W94" s="25" t="s">
        <v>569</v>
      </c>
    </row>
    <row r="95">
      <c r="A95" s="25" t="s">
        <v>719</v>
      </c>
      <c r="B95" s="25" t="s">
        <v>48</v>
      </c>
      <c r="C95" s="36" t="s">
        <v>722</v>
      </c>
      <c r="D95" s="37">
        <v>2022.0</v>
      </c>
      <c r="E95" s="38" t="s">
        <v>720</v>
      </c>
      <c r="F95" s="38" t="s">
        <v>59</v>
      </c>
      <c r="G95" s="39" t="str">
        <f>VLOOKUP(A95,'Dataset '!A:I,9,0)</f>
        <v>11 - 50</v>
      </c>
      <c r="H95" s="37">
        <v>21.0</v>
      </c>
      <c r="I95" s="37">
        <v>3.0</v>
      </c>
      <c r="J95" s="38">
        <v>576000.0</v>
      </c>
      <c r="K95" s="38">
        <v>576000.0</v>
      </c>
      <c r="L95" s="40">
        <f>VLOOKUP($A95,'Dataset '!$A:$I,5,0)</f>
        <v>45623</v>
      </c>
      <c r="M95" s="25" t="s">
        <v>2016</v>
      </c>
      <c r="N95" s="38">
        <f t="shared" si="3"/>
        <v>27428.57143</v>
      </c>
      <c r="O95" s="38">
        <f t="shared" ref="O95:P95" si="96">J95/I95</f>
        <v>192000</v>
      </c>
      <c r="P95" s="41">
        <f t="shared" si="96"/>
        <v>1</v>
      </c>
      <c r="Q95" s="37">
        <v>13.0</v>
      </c>
      <c r="R95" s="37">
        <v>1.0</v>
      </c>
      <c r="S95" s="37">
        <v>0.0</v>
      </c>
      <c r="T95" s="37">
        <v>0.0</v>
      </c>
      <c r="U95" s="37">
        <v>0.0</v>
      </c>
      <c r="V95" s="37">
        <v>3.0</v>
      </c>
      <c r="W95" s="25" t="s">
        <v>595</v>
      </c>
    </row>
    <row r="96">
      <c r="A96" s="25" t="s">
        <v>1576</v>
      </c>
      <c r="B96" s="25" t="s">
        <v>48</v>
      </c>
      <c r="C96" s="36" t="s">
        <v>1581</v>
      </c>
      <c r="D96" s="37">
        <v>2024.0</v>
      </c>
      <c r="E96" s="38" t="s">
        <v>1577</v>
      </c>
      <c r="F96" s="38" t="s">
        <v>59</v>
      </c>
      <c r="G96" s="39" t="str">
        <f>VLOOKUP(A96,'Dataset '!A:I,9,0)</f>
        <v>11 - 50</v>
      </c>
      <c r="H96" s="37">
        <v>46.0</v>
      </c>
      <c r="I96" s="37">
        <v>1.0</v>
      </c>
      <c r="J96" s="38">
        <v>8640000.0</v>
      </c>
      <c r="K96" s="38">
        <v>5400000.0</v>
      </c>
      <c r="L96" s="40">
        <f>VLOOKUP($A96,'Dataset '!$A:$I,5,0)</f>
        <v>46049</v>
      </c>
      <c r="M96" s="25" t="s">
        <v>2017</v>
      </c>
      <c r="N96" s="38">
        <f t="shared" si="3"/>
        <v>117391.3043</v>
      </c>
      <c r="O96" s="38">
        <f t="shared" ref="O96:P96" si="97">J96/I96</f>
        <v>8640000</v>
      </c>
      <c r="P96" s="41">
        <f t="shared" si="97"/>
        <v>0.625</v>
      </c>
      <c r="Q96" s="37">
        <v>12.0</v>
      </c>
      <c r="R96" s="37">
        <v>0.0</v>
      </c>
      <c r="S96" s="37">
        <v>1.0</v>
      </c>
      <c r="T96" s="37">
        <v>0.0</v>
      </c>
      <c r="U96" s="37">
        <v>0.0</v>
      </c>
      <c r="V96" s="37">
        <v>3.0</v>
      </c>
      <c r="W96" s="25" t="s">
        <v>558</v>
      </c>
    </row>
    <row r="97">
      <c r="A97" s="25" t="s">
        <v>787</v>
      </c>
      <c r="B97" s="25" t="s">
        <v>48</v>
      </c>
      <c r="C97" s="36" t="s">
        <v>2018</v>
      </c>
      <c r="D97" s="37">
        <v>2014.0</v>
      </c>
      <c r="E97" s="38" t="s">
        <v>788</v>
      </c>
      <c r="F97" s="38" t="s">
        <v>59</v>
      </c>
      <c r="G97" s="39" t="str">
        <f>VLOOKUP(A97,'Dataset '!A:I,9,0)</f>
        <v>11 - 50</v>
      </c>
      <c r="H97" s="37">
        <v>30.0</v>
      </c>
      <c r="I97" s="37">
        <v>11.0</v>
      </c>
      <c r="J97" s="38">
        <v>1524198.0</v>
      </c>
      <c r="K97" s="38">
        <v>727363.0</v>
      </c>
      <c r="L97" s="40">
        <f>VLOOKUP($A97,'Dataset '!$A:$I,5,0)</f>
        <v>45413</v>
      </c>
      <c r="M97" s="25" t="s">
        <v>2019</v>
      </c>
      <c r="N97" s="38">
        <f t="shared" si="3"/>
        <v>24245.43333</v>
      </c>
      <c r="O97" s="38">
        <f t="shared" ref="O97:P97" si="98">J97/I97</f>
        <v>138563.4545</v>
      </c>
      <c r="P97" s="41">
        <f t="shared" si="98"/>
        <v>0.4772103099</v>
      </c>
      <c r="Q97" s="37">
        <v>17.0</v>
      </c>
      <c r="R97" s="37">
        <v>1.0</v>
      </c>
      <c r="S97" s="37">
        <v>0.0</v>
      </c>
      <c r="T97" s="37">
        <v>3.0</v>
      </c>
      <c r="U97" s="37">
        <v>0.0</v>
      </c>
      <c r="V97" s="37">
        <v>0.0</v>
      </c>
      <c r="W97" s="25" t="s">
        <v>558</v>
      </c>
    </row>
    <row r="98">
      <c r="A98" s="25" t="s">
        <v>985</v>
      </c>
      <c r="B98" s="25" t="s">
        <v>48</v>
      </c>
      <c r="C98" s="36" t="s">
        <v>987</v>
      </c>
      <c r="D98" s="37">
        <v>2017.0</v>
      </c>
      <c r="E98" s="38" t="s">
        <v>986</v>
      </c>
      <c r="F98" s="38" t="s">
        <v>38</v>
      </c>
      <c r="G98" s="39" t="str">
        <f>VLOOKUP(A98,'Dataset '!A:I,9,0)</f>
        <v>11 - 50</v>
      </c>
      <c r="H98" s="37">
        <v>46.0</v>
      </c>
      <c r="I98" s="37">
        <v>8.0</v>
      </c>
      <c r="J98" s="38">
        <v>1260000.0</v>
      </c>
      <c r="K98" s="38">
        <v>1260000.0</v>
      </c>
      <c r="L98" s="40">
        <f>VLOOKUP($A98,'Dataset '!$A:$I,5,0)</f>
        <v>45329</v>
      </c>
      <c r="M98" s="25" t="s">
        <v>2020</v>
      </c>
      <c r="N98" s="38">
        <f t="shared" si="3"/>
        <v>27391.30435</v>
      </c>
      <c r="O98" s="38">
        <f t="shared" ref="O98:P98" si="99">J98/I98</f>
        <v>157500</v>
      </c>
      <c r="P98" s="41">
        <f t="shared" si="99"/>
        <v>1</v>
      </c>
      <c r="Q98" s="37">
        <v>10.0</v>
      </c>
      <c r="R98" s="37">
        <v>0.0</v>
      </c>
      <c r="S98" s="37">
        <v>1.0</v>
      </c>
      <c r="T98" s="37">
        <v>0.0</v>
      </c>
      <c r="U98" s="37">
        <v>0.0</v>
      </c>
      <c r="V98" s="37">
        <v>0.0</v>
      </c>
      <c r="W98" s="25" t="s">
        <v>595</v>
      </c>
    </row>
    <row r="99">
      <c r="A99" s="25" t="s">
        <v>1018</v>
      </c>
      <c r="B99" s="25" t="s">
        <v>48</v>
      </c>
      <c r="C99" s="36" t="s">
        <v>1020</v>
      </c>
      <c r="D99" s="37">
        <v>2019.0</v>
      </c>
      <c r="E99" s="38" t="s">
        <v>1019</v>
      </c>
      <c r="F99" s="38" t="s">
        <v>59</v>
      </c>
      <c r="G99" s="39" t="str">
        <f>VLOOKUP(A99,'Dataset '!A:I,9,0)</f>
        <v>11 - 50</v>
      </c>
      <c r="H99" s="37">
        <v>40.0</v>
      </c>
      <c r="I99" s="37">
        <v>6.0</v>
      </c>
      <c r="J99" s="38">
        <v>1431000.0</v>
      </c>
      <c r="K99" s="38">
        <v>1350000.0</v>
      </c>
      <c r="L99" s="40">
        <f>VLOOKUP($A99,'Dataset '!$A:$I,5,0)</f>
        <v>44701</v>
      </c>
      <c r="M99" s="25" t="s">
        <v>2021</v>
      </c>
      <c r="N99" s="38">
        <f t="shared" si="3"/>
        <v>33750</v>
      </c>
      <c r="O99" s="38">
        <f t="shared" ref="O99:P99" si="100">J99/I99</f>
        <v>238500</v>
      </c>
      <c r="P99" s="41">
        <f t="shared" si="100"/>
        <v>0.9433962264</v>
      </c>
      <c r="Q99" s="37">
        <v>11.0</v>
      </c>
      <c r="R99" s="37">
        <v>0.0</v>
      </c>
      <c r="S99" s="37">
        <v>1.0</v>
      </c>
      <c r="T99" s="37">
        <v>1.0</v>
      </c>
      <c r="U99" s="37">
        <v>0.0</v>
      </c>
      <c r="V99" s="37">
        <v>3.0</v>
      </c>
      <c r="W99" s="25" t="s">
        <v>558</v>
      </c>
    </row>
    <row r="100">
      <c r="A100" s="25" t="s">
        <v>1026</v>
      </c>
      <c r="B100" s="25" t="s">
        <v>48</v>
      </c>
      <c r="C100" s="36" t="s">
        <v>1032</v>
      </c>
      <c r="D100" s="37">
        <v>2014.0</v>
      </c>
      <c r="E100" s="38" t="s">
        <v>1027</v>
      </c>
      <c r="F100" s="38" t="s">
        <v>59</v>
      </c>
      <c r="G100" s="39" t="str">
        <f>VLOOKUP(A100,'Dataset '!A:I,9,0)</f>
        <v>11 - 50</v>
      </c>
      <c r="H100" s="37">
        <v>33.0</v>
      </c>
      <c r="I100" s="37">
        <v>11.0</v>
      </c>
      <c r="J100" s="38">
        <v>4050000.0</v>
      </c>
      <c r="K100" s="38">
        <v>1350000.0</v>
      </c>
      <c r="L100" s="40">
        <f>VLOOKUP($A100,'Dataset '!$A:$I,5,0)</f>
        <v>45839</v>
      </c>
      <c r="M100" s="25" t="s">
        <v>2022</v>
      </c>
      <c r="N100" s="38">
        <f t="shared" si="3"/>
        <v>40909.09091</v>
      </c>
      <c r="O100" s="38">
        <f t="shared" ref="O100:P100" si="101">J100/I100</f>
        <v>368181.8182</v>
      </c>
      <c r="P100" s="41">
        <f t="shared" si="101"/>
        <v>0.3333333333</v>
      </c>
      <c r="Q100" s="37">
        <v>27.0</v>
      </c>
      <c r="R100" s="37">
        <v>1.0</v>
      </c>
      <c r="S100" s="37">
        <v>0.0</v>
      </c>
      <c r="T100" s="37">
        <v>0.0</v>
      </c>
      <c r="U100" s="37">
        <v>3.0</v>
      </c>
      <c r="V100" s="37">
        <v>4.0</v>
      </c>
      <c r="W100" s="25" t="s">
        <v>558</v>
      </c>
    </row>
    <row r="101">
      <c r="A101" s="25" t="s">
        <v>1876</v>
      </c>
      <c r="B101" s="25" t="s">
        <v>48</v>
      </c>
      <c r="C101" s="36" t="s">
        <v>1908</v>
      </c>
      <c r="D101" s="37">
        <v>2023.0</v>
      </c>
      <c r="E101" s="38" t="s">
        <v>1877</v>
      </c>
      <c r="F101" s="38" t="s">
        <v>76</v>
      </c>
      <c r="G101" s="39" t="str">
        <f>VLOOKUP(A101,'Dataset '!A:I,9,0)</f>
        <v>11 - 50</v>
      </c>
      <c r="H101" s="37">
        <v>26.0</v>
      </c>
      <c r="I101" s="37">
        <v>2.0</v>
      </c>
      <c r="J101" s="38">
        <v>1.89E7</v>
      </c>
      <c r="K101" s="38">
        <v>1.62E7</v>
      </c>
      <c r="L101" s="40">
        <f>VLOOKUP($A101,'Dataset '!$A:$I,5,0)</f>
        <v>46062</v>
      </c>
      <c r="M101" s="25" t="s">
        <v>2023</v>
      </c>
      <c r="N101" s="38">
        <f t="shared" si="3"/>
        <v>623076.9231</v>
      </c>
      <c r="O101" s="38">
        <f t="shared" ref="O101:P101" si="102">J101/I101</f>
        <v>9450000</v>
      </c>
      <c r="P101" s="41">
        <f t="shared" si="102"/>
        <v>0.8571428571</v>
      </c>
      <c r="Q101" s="37">
        <v>11.0</v>
      </c>
      <c r="R101" s="37">
        <v>1.0</v>
      </c>
      <c r="S101" s="37">
        <v>0.0</v>
      </c>
      <c r="T101" s="37">
        <v>1.0</v>
      </c>
      <c r="U101" s="37">
        <v>0.0</v>
      </c>
      <c r="V101" s="37">
        <v>0.0</v>
      </c>
      <c r="W101" s="25" t="s">
        <v>558</v>
      </c>
    </row>
    <row r="102">
      <c r="A102" s="25" t="s">
        <v>340</v>
      </c>
      <c r="B102" s="25" t="s">
        <v>52</v>
      </c>
      <c r="C102" s="36" t="s">
        <v>2024</v>
      </c>
      <c r="D102" s="37">
        <v>2007.0</v>
      </c>
      <c r="E102" s="38" t="s">
        <v>342</v>
      </c>
      <c r="F102" s="38" t="s">
        <v>59</v>
      </c>
      <c r="G102" s="39" t="str">
        <f>VLOOKUP(A102,'Dataset '!A:I,9,0)</f>
        <v>51 - 100</v>
      </c>
      <c r="H102" s="37">
        <v>57.0</v>
      </c>
      <c r="I102" s="37">
        <v>18.0</v>
      </c>
      <c r="J102" s="38">
        <v>108000.0</v>
      </c>
      <c r="K102" s="38">
        <v>108000.0</v>
      </c>
      <c r="L102" s="40">
        <f>VLOOKUP($A102,'Dataset '!$A:$I,5,0)</f>
        <v>43132</v>
      </c>
      <c r="M102" s="38">
        <f t="shared" ref="M102:M116" si="104">J102/H102</f>
        <v>1894.736842</v>
      </c>
      <c r="N102" s="38">
        <f t="shared" si="3"/>
        <v>1894.736842</v>
      </c>
      <c r="O102" s="38">
        <f t="shared" ref="O102:P102" si="103">J102/I102</f>
        <v>6000</v>
      </c>
      <c r="P102" s="41">
        <f t="shared" si="103"/>
        <v>1</v>
      </c>
      <c r="Q102" s="37">
        <v>20.0</v>
      </c>
      <c r="R102" s="37">
        <v>2.0</v>
      </c>
      <c r="S102" s="37">
        <v>2.0</v>
      </c>
      <c r="T102" s="37">
        <v>1.0</v>
      </c>
      <c r="U102" s="37">
        <v>1.0</v>
      </c>
      <c r="V102" s="37">
        <v>1.0</v>
      </c>
      <c r="W102" s="25" t="s">
        <v>558</v>
      </c>
    </row>
    <row r="103">
      <c r="A103" s="25" t="s">
        <v>750</v>
      </c>
      <c r="B103" s="25" t="s">
        <v>52</v>
      </c>
      <c r="C103" s="36" t="s">
        <v>2025</v>
      </c>
      <c r="D103" s="37">
        <v>2013.0</v>
      </c>
      <c r="E103" s="38" t="s">
        <v>498</v>
      </c>
      <c r="F103" s="38" t="s">
        <v>59</v>
      </c>
      <c r="G103" s="39" t="str">
        <f>VLOOKUP(A103,'Dataset '!A:I,9,0)</f>
        <v>51 - 100</v>
      </c>
      <c r="H103" s="37">
        <v>70.0</v>
      </c>
      <c r="I103" s="37">
        <v>12.0</v>
      </c>
      <c r="J103" s="38">
        <v>702000.0</v>
      </c>
      <c r="K103" s="38">
        <v>702000.0</v>
      </c>
      <c r="L103" s="40">
        <f>VLOOKUP($A103,'Dataset '!$A:$I,5,0)</f>
        <v>41830</v>
      </c>
      <c r="M103" s="38">
        <f t="shared" si="104"/>
        <v>10028.57143</v>
      </c>
      <c r="N103" s="38">
        <f t="shared" si="3"/>
        <v>10028.57143</v>
      </c>
      <c r="O103" s="38">
        <f t="shared" ref="O103:P103" si="105">J103/I103</f>
        <v>58500</v>
      </c>
      <c r="P103" s="41">
        <f t="shared" si="105"/>
        <v>1</v>
      </c>
      <c r="Q103" s="37">
        <v>26.0</v>
      </c>
      <c r="R103" s="37">
        <v>0.0</v>
      </c>
      <c r="S103" s="37">
        <v>1.0</v>
      </c>
      <c r="T103" s="37">
        <v>0.0</v>
      </c>
      <c r="U103" s="37">
        <v>3.0</v>
      </c>
      <c r="V103" s="37">
        <v>4.0</v>
      </c>
      <c r="W103" s="25" t="s">
        <v>595</v>
      </c>
    </row>
    <row r="104">
      <c r="A104" s="25" t="s">
        <v>544</v>
      </c>
      <c r="B104" s="25" t="s">
        <v>48</v>
      </c>
      <c r="C104" s="36" t="s">
        <v>2026</v>
      </c>
      <c r="D104" s="37">
        <v>2023.0</v>
      </c>
      <c r="E104" s="38" t="s">
        <v>545</v>
      </c>
      <c r="F104" s="38" t="s">
        <v>59</v>
      </c>
      <c r="G104" s="39" t="str">
        <f>VLOOKUP(A104,'Dataset '!A:I,9,0)</f>
        <v>11 - 50</v>
      </c>
      <c r="H104" s="37">
        <v>18.0</v>
      </c>
      <c r="I104" s="37">
        <v>2.0</v>
      </c>
      <c r="J104" s="38">
        <v>2.01E7</v>
      </c>
      <c r="K104" s="38">
        <v>1.0E7</v>
      </c>
      <c r="L104" s="40">
        <f>VLOOKUP($A104,'Dataset '!$A:$I,5,0)</f>
        <v>45379</v>
      </c>
      <c r="M104" s="38">
        <f t="shared" si="104"/>
        <v>1116666.667</v>
      </c>
      <c r="N104" s="38">
        <f t="shared" si="3"/>
        <v>555555.5556</v>
      </c>
      <c r="O104" s="38">
        <f t="shared" ref="O104:P104" si="106">J104/I104</f>
        <v>10050000</v>
      </c>
      <c r="P104" s="41">
        <f t="shared" si="106"/>
        <v>0.4975124378</v>
      </c>
      <c r="Q104" s="37">
        <v>10.0</v>
      </c>
      <c r="R104" s="37">
        <v>1.0</v>
      </c>
      <c r="S104" s="37">
        <v>1.0</v>
      </c>
      <c r="T104" s="37">
        <v>0.0</v>
      </c>
      <c r="U104" s="37">
        <v>0.0</v>
      </c>
      <c r="V104" s="37">
        <v>0.0</v>
      </c>
      <c r="W104" s="25" t="s">
        <v>558</v>
      </c>
    </row>
    <row r="105">
      <c r="A105" s="25" t="s">
        <v>547</v>
      </c>
      <c r="B105" s="25" t="s">
        <v>48</v>
      </c>
      <c r="C105" s="36" t="s">
        <v>2027</v>
      </c>
      <c r="D105" s="37">
        <v>2020.0</v>
      </c>
      <c r="E105" s="38" t="s">
        <v>548</v>
      </c>
      <c r="F105" s="38" t="s">
        <v>76</v>
      </c>
      <c r="G105" s="39" t="str">
        <f>VLOOKUP(A105,'Dataset '!A:I,9,0)</f>
        <v>51 - 100</v>
      </c>
      <c r="H105" s="25">
        <v>75.0</v>
      </c>
      <c r="I105" s="37">
        <v>5.0</v>
      </c>
      <c r="J105" s="38">
        <v>1.22E7</v>
      </c>
      <c r="K105" s="38">
        <v>1.0E7</v>
      </c>
      <c r="L105" s="40">
        <f>VLOOKUP($A105,'Dataset '!$A:$I,5,0)</f>
        <v>44656</v>
      </c>
      <c r="M105" s="38">
        <f t="shared" si="104"/>
        <v>162666.6667</v>
      </c>
      <c r="N105" s="38">
        <f t="shared" si="3"/>
        <v>133333.3333</v>
      </c>
      <c r="O105" s="38">
        <f t="shared" ref="O105:P105" si="107">J105/I105</f>
        <v>2440000</v>
      </c>
      <c r="P105" s="41">
        <f t="shared" si="107"/>
        <v>0.8196721311</v>
      </c>
      <c r="Q105" s="37">
        <v>4.0</v>
      </c>
      <c r="R105" s="37">
        <v>0.0</v>
      </c>
      <c r="S105" s="37">
        <v>0.0</v>
      </c>
      <c r="T105" s="37">
        <v>0.0</v>
      </c>
      <c r="U105" s="37">
        <v>0.0</v>
      </c>
      <c r="V105" s="37">
        <v>0.0</v>
      </c>
      <c r="W105" s="25" t="s">
        <v>569</v>
      </c>
    </row>
    <row r="106">
      <c r="A106" s="36" t="s">
        <v>594</v>
      </c>
      <c r="B106" s="25" t="s">
        <v>48</v>
      </c>
      <c r="C106" s="36" t="s">
        <v>945</v>
      </c>
      <c r="D106" s="37">
        <v>2021.0</v>
      </c>
      <c r="E106" s="38" t="s">
        <v>596</v>
      </c>
      <c r="F106" s="38" t="s">
        <v>59</v>
      </c>
      <c r="G106" s="39" t="str">
        <f>VLOOKUP(A106,'Dataset '!A:I,9,0)</f>
        <v>51 - 100</v>
      </c>
      <c r="H106" s="37">
        <v>67.0</v>
      </c>
      <c r="I106" s="37">
        <v>4.0</v>
      </c>
      <c r="J106" s="38">
        <v>2500000.0</v>
      </c>
      <c r="K106" s="38">
        <v>2500000.0</v>
      </c>
      <c r="L106" s="40">
        <f>VLOOKUP($A106,'Dataset '!$A:$I,5,0)</f>
        <v>45363</v>
      </c>
      <c r="M106" s="38">
        <f t="shared" si="104"/>
        <v>37313.43284</v>
      </c>
      <c r="N106" s="38">
        <f t="shared" si="3"/>
        <v>37313.43284</v>
      </c>
      <c r="O106" s="38">
        <f t="shared" ref="O106:P106" si="108">J106/I106</f>
        <v>625000</v>
      </c>
      <c r="P106" s="41">
        <f t="shared" si="108"/>
        <v>1</v>
      </c>
      <c r="Q106" s="37">
        <v>16.0</v>
      </c>
      <c r="R106" s="37">
        <v>1.0</v>
      </c>
      <c r="S106" s="37">
        <v>1.0</v>
      </c>
      <c r="T106" s="37">
        <v>0.0</v>
      </c>
      <c r="U106" s="37">
        <v>0.0</v>
      </c>
      <c r="V106" s="37">
        <v>2.0</v>
      </c>
      <c r="W106" s="25" t="s">
        <v>558</v>
      </c>
    </row>
    <row r="107">
      <c r="A107" s="25" t="s">
        <v>653</v>
      </c>
      <c r="B107" s="25" t="s">
        <v>48</v>
      </c>
      <c r="C107" s="36" t="s">
        <v>1033</v>
      </c>
      <c r="D107" s="37">
        <v>2021.0</v>
      </c>
      <c r="E107" s="38" t="s">
        <v>472</v>
      </c>
      <c r="F107" s="38" t="s">
        <v>59</v>
      </c>
      <c r="G107" s="39" t="str">
        <f>VLOOKUP(A107,'Dataset '!A:I,9,0)</f>
        <v>51 - 100</v>
      </c>
      <c r="H107" s="37">
        <v>36.0</v>
      </c>
      <c r="I107" s="37">
        <v>4.0</v>
      </c>
      <c r="J107" s="38">
        <v>1.03E7</v>
      </c>
      <c r="K107" s="38">
        <v>6000000.0</v>
      </c>
      <c r="L107" s="40">
        <f>VLOOKUP($A107,'Dataset '!$A:$I,5,0)</f>
        <v>45254</v>
      </c>
      <c r="M107" s="38">
        <f t="shared" si="104"/>
        <v>286111.1111</v>
      </c>
      <c r="N107" s="38">
        <f t="shared" si="3"/>
        <v>166666.6667</v>
      </c>
      <c r="O107" s="38">
        <f t="shared" ref="O107:P107" si="109">J107/I107</f>
        <v>2575000</v>
      </c>
      <c r="P107" s="41">
        <f t="shared" si="109"/>
        <v>0.5825242718</v>
      </c>
      <c r="Q107" s="37">
        <v>11.0</v>
      </c>
      <c r="R107" s="37">
        <v>0.0</v>
      </c>
      <c r="S107" s="37">
        <v>0.0</v>
      </c>
      <c r="T107" s="37">
        <v>1.0</v>
      </c>
      <c r="U107" s="37">
        <v>0.0</v>
      </c>
      <c r="V107" s="37">
        <v>1.0</v>
      </c>
      <c r="W107" s="25" t="s">
        <v>569</v>
      </c>
    </row>
    <row r="108">
      <c r="A108" s="25" t="s">
        <v>662</v>
      </c>
      <c r="B108" s="25" t="s">
        <v>48</v>
      </c>
      <c r="C108" s="36" t="s">
        <v>874</v>
      </c>
      <c r="D108" s="37">
        <v>2019.0</v>
      </c>
      <c r="E108" s="38" t="s">
        <v>664</v>
      </c>
      <c r="F108" s="38" t="s">
        <v>38</v>
      </c>
      <c r="G108" s="39" t="str">
        <f>VLOOKUP(A108,'Dataset '!A:I,9,0)</f>
        <v>51 - 100</v>
      </c>
      <c r="H108" s="37">
        <v>64.0</v>
      </c>
      <c r="I108" s="37">
        <v>6.0</v>
      </c>
      <c r="J108" s="38">
        <v>5600000.0</v>
      </c>
      <c r="K108" s="38">
        <v>1000000.0</v>
      </c>
      <c r="L108" s="40">
        <f>VLOOKUP($A108,'Dataset '!$A:$I,5,0)</f>
        <v>45632</v>
      </c>
      <c r="M108" s="38">
        <f t="shared" si="104"/>
        <v>87500</v>
      </c>
      <c r="N108" s="38">
        <f t="shared" si="3"/>
        <v>15625</v>
      </c>
      <c r="O108" s="38">
        <f t="shared" ref="O108:P108" si="110">J108/I108</f>
        <v>933333.3333</v>
      </c>
      <c r="P108" s="41">
        <f t="shared" si="110"/>
        <v>0.1785714286</v>
      </c>
      <c r="Q108" s="37">
        <v>25.0</v>
      </c>
      <c r="R108" s="37">
        <v>0.0</v>
      </c>
      <c r="S108" s="37">
        <v>1.0</v>
      </c>
      <c r="T108" s="37">
        <v>1.0</v>
      </c>
      <c r="U108" s="37">
        <v>0.0</v>
      </c>
      <c r="V108" s="37">
        <v>0.0</v>
      </c>
      <c r="W108" s="25" t="s">
        <v>550</v>
      </c>
    </row>
    <row r="109">
      <c r="A109" s="25" t="s">
        <v>668</v>
      </c>
      <c r="B109" s="25" t="s">
        <v>48</v>
      </c>
      <c r="C109" s="36" t="s">
        <v>2028</v>
      </c>
      <c r="D109" s="37">
        <v>2020.0</v>
      </c>
      <c r="E109" s="38" t="s">
        <v>669</v>
      </c>
      <c r="F109" s="38" t="s">
        <v>76</v>
      </c>
      <c r="G109" s="39" t="str">
        <f>VLOOKUP(A109,'Dataset '!A:I,9,0)</f>
        <v>51 - 100</v>
      </c>
      <c r="H109" s="37">
        <v>65.0</v>
      </c>
      <c r="I109" s="37">
        <v>5.0</v>
      </c>
      <c r="J109" s="38">
        <v>1.6547191E7</v>
      </c>
      <c r="K109" s="38">
        <v>1000000.0</v>
      </c>
      <c r="L109" s="40">
        <f>VLOOKUP($A109,'Dataset '!$A:$I,5,0)</f>
        <v>45981</v>
      </c>
      <c r="M109" s="38">
        <f t="shared" si="104"/>
        <v>254572.1692</v>
      </c>
      <c r="N109" s="38">
        <f t="shared" si="3"/>
        <v>15384.61538</v>
      </c>
      <c r="O109" s="38">
        <f t="shared" ref="O109:P109" si="111">J109/I109</f>
        <v>3309438.2</v>
      </c>
      <c r="P109" s="41">
        <f t="shared" si="111"/>
        <v>0.06043321794</v>
      </c>
      <c r="Q109" s="37">
        <v>17.0</v>
      </c>
      <c r="R109" s="37">
        <v>0.0</v>
      </c>
      <c r="S109" s="37">
        <v>0.0</v>
      </c>
      <c r="T109" s="37">
        <v>0.0</v>
      </c>
      <c r="U109" s="37">
        <v>0.0</v>
      </c>
      <c r="V109" s="37">
        <v>3.0</v>
      </c>
      <c r="W109" s="25" t="s">
        <v>558</v>
      </c>
    </row>
    <row r="110">
      <c r="A110" s="25" t="s">
        <v>677</v>
      </c>
      <c r="B110" s="25" t="s">
        <v>52</v>
      </c>
      <c r="C110" s="36" t="s">
        <v>898</v>
      </c>
      <c r="D110" s="37">
        <v>2019.0</v>
      </c>
      <c r="E110" s="38" t="s">
        <v>679</v>
      </c>
      <c r="F110" s="38" t="s">
        <v>59</v>
      </c>
      <c r="G110" s="39" t="str">
        <f>VLOOKUP(A110,'Dataset '!A:I,9,0)</f>
        <v>11 - 50</v>
      </c>
      <c r="H110" s="37">
        <v>43.0</v>
      </c>
      <c r="I110" s="37">
        <v>6.0</v>
      </c>
      <c r="J110" s="38">
        <v>1000000.0</v>
      </c>
      <c r="K110" s="38">
        <v>1000000.0</v>
      </c>
      <c r="L110" s="40">
        <f>VLOOKUP($A110,'Dataset '!$A:$I,5,0)</f>
        <v>44197</v>
      </c>
      <c r="M110" s="38">
        <f t="shared" si="104"/>
        <v>23255.81395</v>
      </c>
      <c r="N110" s="38">
        <f t="shared" si="3"/>
        <v>23255.81395</v>
      </c>
      <c r="O110" s="38">
        <f t="shared" ref="O110:P110" si="112">J110/I110</f>
        <v>166666.6667</v>
      </c>
      <c r="P110" s="41">
        <f t="shared" si="112"/>
        <v>1</v>
      </c>
      <c r="Q110" s="37">
        <v>24.0</v>
      </c>
      <c r="R110" s="37">
        <v>1.0</v>
      </c>
      <c r="S110" s="37">
        <v>1.0</v>
      </c>
      <c r="T110" s="37">
        <v>1.0</v>
      </c>
      <c r="U110" s="37">
        <v>1.0</v>
      </c>
      <c r="V110" s="37">
        <v>5.0</v>
      </c>
      <c r="W110" s="25" t="s">
        <v>558</v>
      </c>
    </row>
    <row r="111">
      <c r="A111" s="25" t="s">
        <v>746</v>
      </c>
      <c r="B111" s="25" t="s">
        <v>48</v>
      </c>
      <c r="C111" s="36" t="s">
        <v>1167</v>
      </c>
      <c r="D111" s="37">
        <v>2021.0</v>
      </c>
      <c r="E111" s="38" t="s">
        <v>747</v>
      </c>
      <c r="F111" s="38" t="s">
        <v>76</v>
      </c>
      <c r="G111" s="39" t="str">
        <f>VLOOKUP(A111,'Dataset '!A:I,9,0)</f>
        <v>51 - 100</v>
      </c>
      <c r="H111" s="37">
        <v>170.0</v>
      </c>
      <c r="I111" s="37">
        <v>4.0</v>
      </c>
      <c r="J111" s="38">
        <v>2.017E7</v>
      </c>
      <c r="K111" s="38">
        <v>1.012E7</v>
      </c>
      <c r="L111" s="40">
        <f>VLOOKUP($A111,'Dataset '!$A:$I,5,0)</f>
        <v>45909</v>
      </c>
      <c r="M111" s="38">
        <f t="shared" si="104"/>
        <v>118647.0588</v>
      </c>
      <c r="N111" s="38">
        <f t="shared" si="3"/>
        <v>59529.41176</v>
      </c>
      <c r="O111" s="38">
        <f t="shared" ref="O111:P111" si="113">J111/I111</f>
        <v>5042500</v>
      </c>
      <c r="P111" s="41">
        <f t="shared" si="113"/>
        <v>0.5017352504</v>
      </c>
      <c r="Q111" s="37">
        <v>43.0</v>
      </c>
      <c r="R111" s="37">
        <v>1.0</v>
      </c>
      <c r="S111" s="37">
        <v>1.0</v>
      </c>
      <c r="T111" s="37">
        <v>4.0</v>
      </c>
      <c r="U111" s="37">
        <v>2.0</v>
      </c>
      <c r="V111" s="37">
        <v>3.0</v>
      </c>
      <c r="W111" s="25" t="s">
        <v>558</v>
      </c>
    </row>
    <row r="112">
      <c r="A112" s="25" t="s">
        <v>777</v>
      </c>
      <c r="B112" s="25" t="s">
        <v>48</v>
      </c>
      <c r="C112" s="36" t="s">
        <v>1217</v>
      </c>
      <c r="D112" s="37">
        <v>2018.0</v>
      </c>
      <c r="E112" s="38" t="s">
        <v>778</v>
      </c>
      <c r="F112" s="38" t="s">
        <v>76</v>
      </c>
      <c r="G112" s="39" t="str">
        <f>VLOOKUP(A112,'Dataset '!A:I,9,0)</f>
        <v>51 - 100</v>
      </c>
      <c r="H112" s="25">
        <v>75.0</v>
      </c>
      <c r="I112" s="37">
        <v>7.0</v>
      </c>
      <c r="J112" s="38">
        <v>1.5E7</v>
      </c>
      <c r="K112" s="38">
        <v>1.2E7</v>
      </c>
      <c r="L112" s="40">
        <f>VLOOKUP($A112,'Dataset '!$A:$I,5,0)</f>
        <v>45925</v>
      </c>
      <c r="M112" s="38">
        <f t="shared" si="104"/>
        <v>200000</v>
      </c>
      <c r="N112" s="38">
        <f t="shared" si="3"/>
        <v>160000</v>
      </c>
      <c r="O112" s="38">
        <f t="shared" ref="O112:P112" si="114">J112/I112</f>
        <v>2142857.143</v>
      </c>
      <c r="P112" s="41">
        <f t="shared" si="114"/>
        <v>0.8</v>
      </c>
      <c r="Q112" s="37">
        <v>15.0</v>
      </c>
      <c r="R112" s="37">
        <v>2.0</v>
      </c>
      <c r="S112" s="37">
        <v>0.0</v>
      </c>
      <c r="T112" s="37">
        <v>2.0</v>
      </c>
      <c r="U112" s="37">
        <v>0.0</v>
      </c>
      <c r="V112" s="37">
        <v>1.0</v>
      </c>
      <c r="W112" s="25" t="s">
        <v>558</v>
      </c>
    </row>
    <row r="113">
      <c r="A113" s="25" t="s">
        <v>792</v>
      </c>
      <c r="B113" s="25" t="s">
        <v>52</v>
      </c>
      <c r="C113" s="36" t="s">
        <v>1231</v>
      </c>
      <c r="D113" s="37">
        <v>2017.0</v>
      </c>
      <c r="E113" s="38" t="s">
        <v>793</v>
      </c>
      <c r="F113" s="38" t="s">
        <v>76</v>
      </c>
      <c r="G113" s="39" t="str">
        <f>VLOOKUP(A113,'Dataset '!A:I,9,0)</f>
        <v>51 - 100</v>
      </c>
      <c r="H113" s="37">
        <v>67.0</v>
      </c>
      <c r="I113" s="37">
        <v>8.0</v>
      </c>
      <c r="J113" s="38">
        <v>1.5365459E7</v>
      </c>
      <c r="K113" s="38">
        <v>1.2E7</v>
      </c>
      <c r="L113" s="40">
        <f>VLOOKUP($A113,'Dataset '!$A:$I,5,0)</f>
        <v>44529</v>
      </c>
      <c r="M113" s="38">
        <f t="shared" si="104"/>
        <v>229335.209</v>
      </c>
      <c r="N113" s="38">
        <f t="shared" si="3"/>
        <v>179104.4776</v>
      </c>
      <c r="O113" s="38">
        <f t="shared" ref="O113:P113" si="115">J113/I113</f>
        <v>1920682.375</v>
      </c>
      <c r="P113" s="41">
        <f t="shared" si="115"/>
        <v>0.7809724395</v>
      </c>
      <c r="Q113" s="37">
        <v>29.0</v>
      </c>
      <c r="R113" s="37">
        <v>1.0</v>
      </c>
      <c r="S113" s="37">
        <v>1.0</v>
      </c>
      <c r="T113" s="37">
        <v>4.0</v>
      </c>
      <c r="U113" s="37">
        <v>0.0</v>
      </c>
      <c r="V113" s="37">
        <v>2.0</v>
      </c>
      <c r="W113" s="25" t="s">
        <v>558</v>
      </c>
    </row>
    <row r="114">
      <c r="A114" s="25" t="s">
        <v>826</v>
      </c>
      <c r="B114" s="25" t="s">
        <v>52</v>
      </c>
      <c r="C114" s="36" t="s">
        <v>1281</v>
      </c>
      <c r="D114" s="37">
        <v>2012.0</v>
      </c>
      <c r="E114" s="38" t="s">
        <v>827</v>
      </c>
      <c r="F114" s="38" t="s">
        <v>289</v>
      </c>
      <c r="G114" s="39" t="str">
        <f>VLOOKUP(A114,'Dataset '!A:I,9,0)</f>
        <v>51 - 100</v>
      </c>
      <c r="H114" s="37">
        <v>69.0</v>
      </c>
      <c r="I114" s="37">
        <v>13.0</v>
      </c>
      <c r="J114" s="38">
        <v>2.94E7</v>
      </c>
      <c r="K114" s="38">
        <v>1.5E7</v>
      </c>
      <c r="L114" s="40">
        <f>VLOOKUP($A114,'Dataset '!$A:$I,5,0)</f>
        <v>44825</v>
      </c>
      <c r="M114" s="38">
        <f t="shared" si="104"/>
        <v>426086.9565</v>
      </c>
      <c r="N114" s="38">
        <f t="shared" si="3"/>
        <v>217391.3043</v>
      </c>
      <c r="O114" s="38">
        <f t="shared" ref="O114:P114" si="116">J114/I114</f>
        <v>2261538.462</v>
      </c>
      <c r="P114" s="41">
        <f t="shared" si="116"/>
        <v>0.5102040816</v>
      </c>
      <c r="Q114" s="37">
        <v>35.0</v>
      </c>
      <c r="R114" s="37">
        <v>1.0</v>
      </c>
      <c r="S114" s="37">
        <v>1.0</v>
      </c>
      <c r="T114" s="37">
        <v>0.0</v>
      </c>
      <c r="U114" s="37">
        <v>3.0</v>
      </c>
      <c r="V114" s="37">
        <v>6.0</v>
      </c>
      <c r="W114" s="25" t="s">
        <v>558</v>
      </c>
    </row>
    <row r="115">
      <c r="A115" s="25" t="s">
        <v>836</v>
      </c>
      <c r="B115" s="25" t="s">
        <v>48</v>
      </c>
      <c r="C115" s="36" t="s">
        <v>1288</v>
      </c>
      <c r="D115" s="37">
        <v>2023.0</v>
      </c>
      <c r="E115" s="38" t="s">
        <v>837</v>
      </c>
      <c r="F115" s="38" t="s">
        <v>38</v>
      </c>
      <c r="G115" s="39" t="str">
        <f>VLOOKUP(A115,'Dataset '!A:I,9,0)</f>
        <v>51 - 100</v>
      </c>
      <c r="H115" s="37">
        <v>77.0</v>
      </c>
      <c r="I115" s="37">
        <v>2.0</v>
      </c>
      <c r="J115" s="38">
        <v>1.8E7</v>
      </c>
      <c r="K115" s="38">
        <v>1.8E7</v>
      </c>
      <c r="L115" s="40">
        <f>VLOOKUP($A115,'Dataset '!$A:$I,5,0)</f>
        <v>45685</v>
      </c>
      <c r="M115" s="38">
        <f t="shared" si="104"/>
        <v>233766.2338</v>
      </c>
      <c r="N115" s="38">
        <f t="shared" si="3"/>
        <v>233766.2338</v>
      </c>
      <c r="O115" s="38">
        <f t="shared" ref="O115:P115" si="117">J115/I115</f>
        <v>9000000</v>
      </c>
      <c r="P115" s="41">
        <f t="shared" si="117"/>
        <v>1</v>
      </c>
      <c r="Q115" s="37">
        <v>13.0</v>
      </c>
      <c r="R115" s="37">
        <v>0.0</v>
      </c>
      <c r="S115" s="37">
        <v>0.0</v>
      </c>
      <c r="T115" s="37">
        <v>0.0</v>
      </c>
      <c r="U115" s="37">
        <v>0.0</v>
      </c>
      <c r="V115" s="37">
        <v>0.0</v>
      </c>
      <c r="W115" s="25" t="s">
        <v>558</v>
      </c>
    </row>
    <row r="116">
      <c r="A116" s="25" t="s">
        <v>878</v>
      </c>
      <c r="B116" s="25" t="s">
        <v>48</v>
      </c>
      <c r="C116" s="36" t="s">
        <v>2029</v>
      </c>
      <c r="D116" s="37">
        <v>2018.0</v>
      </c>
      <c r="E116" s="38" t="s">
        <v>879</v>
      </c>
      <c r="F116" s="38" t="s">
        <v>289</v>
      </c>
      <c r="G116" s="39" t="str">
        <f>VLOOKUP(A116,'Dataset '!A:I,9,0)</f>
        <v>51 - 100</v>
      </c>
      <c r="H116" s="37">
        <v>55.0</v>
      </c>
      <c r="I116" s="37">
        <v>7.0</v>
      </c>
      <c r="J116" s="38">
        <v>5.08E7</v>
      </c>
      <c r="K116" s="38">
        <v>2.0E7</v>
      </c>
      <c r="L116" s="40">
        <f>VLOOKUP($A116,'Dataset '!$A:$I,5,0)</f>
        <v>45324</v>
      </c>
      <c r="M116" s="38">
        <f t="shared" si="104"/>
        <v>923636.3636</v>
      </c>
      <c r="N116" s="38">
        <f t="shared" si="3"/>
        <v>363636.3636</v>
      </c>
      <c r="O116" s="38">
        <f t="shared" ref="O116:P116" si="118">J116/I116</f>
        <v>7257142.857</v>
      </c>
      <c r="P116" s="41">
        <f t="shared" si="118"/>
        <v>0.3937007874</v>
      </c>
      <c r="Q116" s="37">
        <v>27.0</v>
      </c>
      <c r="R116" s="37">
        <v>1.0</v>
      </c>
      <c r="S116" s="37">
        <v>0.0</v>
      </c>
      <c r="T116" s="37">
        <v>2.0</v>
      </c>
      <c r="U116" s="37">
        <v>1.0</v>
      </c>
      <c r="V116" s="37">
        <v>4.0</v>
      </c>
      <c r="W116" s="25" t="s">
        <v>558</v>
      </c>
    </row>
    <row r="117">
      <c r="A117" s="25" t="s">
        <v>956</v>
      </c>
      <c r="B117" s="25" t="s">
        <v>48</v>
      </c>
      <c r="C117" s="36" t="s">
        <v>1320</v>
      </c>
      <c r="D117" s="37">
        <v>2020.0</v>
      </c>
      <c r="E117" s="38" t="s">
        <v>957</v>
      </c>
      <c r="F117" s="38" t="s">
        <v>752</v>
      </c>
      <c r="G117" s="39" t="str">
        <f>VLOOKUP(A117,'Dataset '!A:I,9,0)</f>
        <v>51 - 100</v>
      </c>
      <c r="H117" s="37">
        <v>76.0</v>
      </c>
      <c r="I117" s="37">
        <v>5.0</v>
      </c>
      <c r="J117" s="38">
        <v>1.62578377E8</v>
      </c>
      <c r="K117" s="38">
        <v>3000000.0</v>
      </c>
      <c r="L117" s="40">
        <f>VLOOKUP($A117,'Dataset '!$A:$I,5,0)</f>
        <v>45806</v>
      </c>
      <c r="M117" s="25" t="s">
        <v>2030</v>
      </c>
      <c r="N117" s="38">
        <f t="shared" si="3"/>
        <v>39473.68421</v>
      </c>
      <c r="O117" s="38">
        <f t="shared" ref="O117:P117" si="119">J117/I117</f>
        <v>32515675.4</v>
      </c>
      <c r="P117" s="41">
        <f t="shared" si="119"/>
        <v>0.01845263838</v>
      </c>
      <c r="Q117" s="37">
        <v>15.0</v>
      </c>
      <c r="R117" s="37">
        <v>2.0</v>
      </c>
      <c r="S117" s="37">
        <v>1.0</v>
      </c>
      <c r="T117" s="37">
        <v>1.0</v>
      </c>
      <c r="U117" s="37">
        <v>0.0</v>
      </c>
      <c r="V117" s="37">
        <v>0.0</v>
      </c>
      <c r="W117" s="25" t="s">
        <v>558</v>
      </c>
    </row>
    <row r="118">
      <c r="A118" s="25" t="s">
        <v>623</v>
      </c>
      <c r="B118" s="25" t="s">
        <v>52</v>
      </c>
      <c r="C118" s="36" t="s">
        <v>627</v>
      </c>
      <c r="D118" s="37">
        <v>2019.0</v>
      </c>
      <c r="E118" s="38" t="s">
        <v>624</v>
      </c>
      <c r="F118" s="38" t="s">
        <v>59</v>
      </c>
      <c r="G118" s="39" t="str">
        <f>VLOOKUP(A118,'Dataset '!A:I,9,0)</f>
        <v>51 - 100</v>
      </c>
      <c r="H118" s="37">
        <v>60.0</v>
      </c>
      <c r="I118" s="37">
        <v>6.0</v>
      </c>
      <c r="J118" s="38">
        <v>406400.0</v>
      </c>
      <c r="K118" s="38">
        <v>300000.0</v>
      </c>
      <c r="L118" s="40">
        <f>VLOOKUP($A118,'Dataset '!$A:$I,5,0)</f>
        <v>45078</v>
      </c>
      <c r="M118" s="25" t="s">
        <v>2031</v>
      </c>
      <c r="N118" s="38">
        <f t="shared" si="3"/>
        <v>5000</v>
      </c>
      <c r="O118" s="38">
        <f t="shared" ref="O118:P118" si="120">J118/I118</f>
        <v>67733.33333</v>
      </c>
      <c r="P118" s="41">
        <f t="shared" si="120"/>
        <v>0.7381889764</v>
      </c>
      <c r="Q118" s="37">
        <v>55.0</v>
      </c>
      <c r="R118" s="37">
        <v>1.0</v>
      </c>
      <c r="S118" s="37">
        <v>5.0</v>
      </c>
      <c r="T118" s="37">
        <v>6.0</v>
      </c>
      <c r="U118" s="37">
        <v>0.0</v>
      </c>
      <c r="V118" s="37">
        <v>4.0</v>
      </c>
      <c r="W118" s="25" t="s">
        <v>550</v>
      </c>
    </row>
    <row r="119">
      <c r="A119" s="25" t="s">
        <v>1046</v>
      </c>
      <c r="B119" s="25" t="s">
        <v>52</v>
      </c>
      <c r="C119" s="36" t="s">
        <v>1462</v>
      </c>
      <c r="D119" s="37">
        <v>2006.0</v>
      </c>
      <c r="E119" s="38" t="s">
        <v>1047</v>
      </c>
      <c r="F119" s="38" t="s">
        <v>38</v>
      </c>
      <c r="G119" s="39" t="str">
        <f>VLOOKUP(A119,'Dataset '!A:I,9,0)</f>
        <v>51 - 100</v>
      </c>
      <c r="H119" s="37">
        <v>56.0</v>
      </c>
      <c r="I119" s="37">
        <v>19.0</v>
      </c>
      <c r="J119" s="38">
        <v>5250000.0</v>
      </c>
      <c r="K119" s="38">
        <v>4000000.0</v>
      </c>
      <c r="L119" s="40">
        <f>VLOOKUP($A119,'Dataset '!$A:$I,5,0)</f>
        <v>40008</v>
      </c>
      <c r="M119" s="25" t="s">
        <v>2032</v>
      </c>
      <c r="N119" s="38">
        <f t="shared" si="3"/>
        <v>71428.57143</v>
      </c>
      <c r="O119" s="38">
        <f t="shared" ref="O119:P119" si="121">J119/I119</f>
        <v>276315.7895</v>
      </c>
      <c r="P119" s="41">
        <f t="shared" si="121"/>
        <v>0.7619047619</v>
      </c>
      <c r="Q119" s="37">
        <v>22.0</v>
      </c>
      <c r="R119" s="37">
        <v>0.0</v>
      </c>
      <c r="S119" s="37">
        <v>0.0</v>
      </c>
      <c r="T119" s="37">
        <v>2.0</v>
      </c>
      <c r="U119" s="37">
        <v>0.0</v>
      </c>
      <c r="V119" s="37">
        <v>2.0</v>
      </c>
      <c r="W119" s="25" t="s">
        <v>558</v>
      </c>
    </row>
    <row r="120">
      <c r="A120" s="25" t="s">
        <v>1091</v>
      </c>
      <c r="B120" s="25" t="s">
        <v>48</v>
      </c>
      <c r="C120" s="36" t="s">
        <v>2033</v>
      </c>
      <c r="D120" s="37">
        <v>2018.0</v>
      </c>
      <c r="E120" s="38" t="s">
        <v>1092</v>
      </c>
      <c r="F120" s="38" t="s">
        <v>289</v>
      </c>
      <c r="G120" s="39" t="str">
        <f>VLOOKUP(A120,'Dataset '!A:I,9,0)</f>
        <v>51 - 100</v>
      </c>
      <c r="H120" s="37">
        <v>90.0</v>
      </c>
      <c r="I120" s="37">
        <v>7.0</v>
      </c>
      <c r="J120" s="38">
        <v>5.9956555E7</v>
      </c>
      <c r="K120" s="38">
        <v>4.5E7</v>
      </c>
      <c r="L120" s="40">
        <f>VLOOKUP($A120,'Dataset '!$A:$I,5,0)</f>
        <v>44662</v>
      </c>
      <c r="M120" s="25" t="s">
        <v>2034</v>
      </c>
      <c r="N120" s="38">
        <f t="shared" si="3"/>
        <v>500000</v>
      </c>
      <c r="O120" s="38">
        <f t="shared" ref="O120:P120" si="122">J120/I120</f>
        <v>8565222.143</v>
      </c>
      <c r="P120" s="41">
        <f t="shared" si="122"/>
        <v>0.750543456</v>
      </c>
      <c r="Q120" s="37">
        <v>36.0</v>
      </c>
      <c r="R120" s="37">
        <v>1.0</v>
      </c>
      <c r="S120" s="37">
        <v>1.0</v>
      </c>
      <c r="T120" s="37">
        <v>1.0</v>
      </c>
      <c r="U120" s="37">
        <v>3.0</v>
      </c>
      <c r="V120" s="37">
        <v>4.0</v>
      </c>
      <c r="W120" s="25" t="s">
        <v>558</v>
      </c>
    </row>
    <row r="121">
      <c r="A121" s="25" t="s">
        <v>1108</v>
      </c>
      <c r="B121" s="25" t="s">
        <v>52</v>
      </c>
      <c r="C121" s="36" t="s">
        <v>1533</v>
      </c>
      <c r="D121" s="37">
        <v>2014.0</v>
      </c>
      <c r="E121" s="38" t="s">
        <v>1109</v>
      </c>
      <c r="F121" s="38" t="s">
        <v>38</v>
      </c>
      <c r="G121" s="39" t="str">
        <f>VLOOKUP(A121,'Dataset '!A:I,9,0)</f>
        <v>51 - 100</v>
      </c>
      <c r="H121" s="37">
        <v>90.0</v>
      </c>
      <c r="I121" s="37">
        <v>11.0</v>
      </c>
      <c r="J121" s="38">
        <v>2.25E7</v>
      </c>
      <c r="K121" s="38">
        <v>5200000.0</v>
      </c>
      <c r="L121" s="40">
        <f>VLOOKUP($A121,'Dataset '!$A:$I,5,0)</f>
        <v>45700</v>
      </c>
      <c r="M121" s="25" t="s">
        <v>1941</v>
      </c>
      <c r="N121" s="38">
        <f t="shared" si="3"/>
        <v>57777.77778</v>
      </c>
      <c r="O121" s="38">
        <f t="shared" ref="O121:P121" si="123">J121/I121</f>
        <v>2045454.545</v>
      </c>
      <c r="P121" s="41">
        <f t="shared" si="123"/>
        <v>0.2311111111</v>
      </c>
      <c r="Q121" s="37">
        <v>27.0</v>
      </c>
      <c r="R121" s="37">
        <v>1.0</v>
      </c>
      <c r="S121" s="37">
        <v>2.0</v>
      </c>
      <c r="T121" s="37">
        <v>0.0</v>
      </c>
      <c r="U121" s="37">
        <v>1.0</v>
      </c>
      <c r="V121" s="37">
        <v>3.0</v>
      </c>
      <c r="W121" s="25" t="s">
        <v>558</v>
      </c>
    </row>
    <row r="122">
      <c r="A122" s="25" t="s">
        <v>1112</v>
      </c>
      <c r="B122" s="25" t="s">
        <v>48</v>
      </c>
      <c r="C122" s="36" t="s">
        <v>2035</v>
      </c>
      <c r="D122" s="37">
        <v>2018.0</v>
      </c>
      <c r="E122" s="38" t="s">
        <v>1113</v>
      </c>
      <c r="F122" s="38" t="s">
        <v>76</v>
      </c>
      <c r="G122" s="39" t="str">
        <f>VLOOKUP(A122,'Dataset '!A:I,9,0)</f>
        <v>51 - 100</v>
      </c>
      <c r="H122" s="37">
        <v>75.0</v>
      </c>
      <c r="I122" s="37">
        <v>7.0</v>
      </c>
      <c r="J122" s="38">
        <v>1.0611877E7</v>
      </c>
      <c r="K122" s="38">
        <v>5800000.0</v>
      </c>
      <c r="L122" s="40">
        <f>VLOOKUP($A122,'Dataset '!$A:$I,5,0)</f>
        <v>46067</v>
      </c>
      <c r="M122" s="25" t="s">
        <v>2036</v>
      </c>
      <c r="N122" s="38">
        <f t="shared" si="3"/>
        <v>77333.33333</v>
      </c>
      <c r="O122" s="38">
        <f t="shared" ref="O122:P122" si="124">J122/I122</f>
        <v>1515982.429</v>
      </c>
      <c r="P122" s="41">
        <f t="shared" si="124"/>
        <v>0.5465574092</v>
      </c>
      <c r="Q122" s="37">
        <v>14.0</v>
      </c>
      <c r="R122" s="37">
        <v>2.0</v>
      </c>
      <c r="S122" s="37">
        <v>0.0</v>
      </c>
      <c r="T122" s="37">
        <v>1.0</v>
      </c>
      <c r="U122" s="37">
        <v>0.0</v>
      </c>
      <c r="V122" s="37">
        <v>2.0</v>
      </c>
      <c r="W122" s="25" t="s">
        <v>558</v>
      </c>
    </row>
    <row r="123">
      <c r="A123" s="25" t="s">
        <v>1143</v>
      </c>
      <c r="B123" s="25" t="s">
        <v>48</v>
      </c>
      <c r="C123" s="36" t="s">
        <v>1604</v>
      </c>
      <c r="D123" s="37">
        <v>2023.0</v>
      </c>
      <c r="E123" s="38" t="s">
        <v>422</v>
      </c>
      <c r="F123" s="38" t="s">
        <v>59</v>
      </c>
      <c r="G123" s="39" t="str">
        <f>VLOOKUP(A123,'Dataset '!A:I,9,0)</f>
        <v>51 - 100</v>
      </c>
      <c r="H123" s="37">
        <v>56.0</v>
      </c>
      <c r="I123" s="37">
        <v>2.0</v>
      </c>
      <c r="J123" s="38">
        <v>6000000.0</v>
      </c>
      <c r="K123" s="38">
        <v>6000000.0</v>
      </c>
      <c r="L123" s="40">
        <f>VLOOKUP($A123,'Dataset '!$A:$I,5,0)</f>
        <v>45475</v>
      </c>
      <c r="M123" s="25" t="s">
        <v>2037</v>
      </c>
      <c r="N123" s="38">
        <f t="shared" si="3"/>
        <v>107142.8571</v>
      </c>
      <c r="O123" s="38">
        <f t="shared" ref="O123:P123" si="125">J123/I123</f>
        <v>3000000</v>
      </c>
      <c r="P123" s="41">
        <f t="shared" si="125"/>
        <v>1</v>
      </c>
      <c r="Q123" s="37">
        <v>32.0</v>
      </c>
      <c r="R123" s="37">
        <v>1.0</v>
      </c>
      <c r="S123" s="37">
        <v>1.0</v>
      </c>
      <c r="T123" s="37">
        <v>1.0</v>
      </c>
      <c r="U123" s="37">
        <v>3.0</v>
      </c>
      <c r="V123" s="37">
        <v>3.0</v>
      </c>
      <c r="W123" s="25" t="s">
        <v>558</v>
      </c>
    </row>
    <row r="124">
      <c r="A124" s="25" t="s">
        <v>1146</v>
      </c>
      <c r="B124" s="25" t="s">
        <v>52</v>
      </c>
      <c r="C124" s="36" t="s">
        <v>1611</v>
      </c>
      <c r="D124" s="37">
        <v>2018.0</v>
      </c>
      <c r="E124" s="38" t="s">
        <v>1147</v>
      </c>
      <c r="F124" s="38" t="s">
        <v>76</v>
      </c>
      <c r="G124" s="39" t="str">
        <f>VLOOKUP(A124,'Dataset '!A:I,9,0)</f>
        <v>51 - 100</v>
      </c>
      <c r="H124" s="37">
        <v>73.0</v>
      </c>
      <c r="I124" s="37">
        <v>7.0</v>
      </c>
      <c r="J124" s="38">
        <v>1.2134606E7</v>
      </c>
      <c r="K124" s="38">
        <v>6000000.0</v>
      </c>
      <c r="L124" s="40">
        <f>VLOOKUP($A124,'Dataset '!$A:$I,5,0)</f>
        <v>45910</v>
      </c>
      <c r="M124" s="25" t="s">
        <v>2038</v>
      </c>
      <c r="N124" s="38">
        <f t="shared" si="3"/>
        <v>82191.78082</v>
      </c>
      <c r="O124" s="38">
        <f t="shared" ref="O124:P124" si="126">J124/I124</f>
        <v>1733515.143</v>
      </c>
      <c r="P124" s="41">
        <f t="shared" si="126"/>
        <v>0.4944536312</v>
      </c>
      <c r="Q124" s="37">
        <v>23.0</v>
      </c>
      <c r="R124" s="37">
        <v>1.0</v>
      </c>
      <c r="S124" s="37">
        <v>3.0</v>
      </c>
      <c r="T124" s="37">
        <v>2.0</v>
      </c>
      <c r="U124" s="37">
        <v>0.0</v>
      </c>
      <c r="V124" s="37">
        <v>3.0</v>
      </c>
      <c r="W124" s="25" t="s">
        <v>569</v>
      </c>
    </row>
    <row r="125">
      <c r="A125" s="25" t="s">
        <v>1207</v>
      </c>
      <c r="B125" s="25" t="s">
        <v>48</v>
      </c>
      <c r="C125" s="36" t="s">
        <v>2039</v>
      </c>
      <c r="D125" s="37">
        <v>2021.0</v>
      </c>
      <c r="E125" s="38" t="s">
        <v>1208</v>
      </c>
      <c r="F125" s="38" t="s">
        <v>76</v>
      </c>
      <c r="G125" s="39" t="str">
        <f>VLOOKUP(A125,'Dataset '!A:I,9,0)</f>
        <v>51 - 100</v>
      </c>
      <c r="H125" s="37">
        <v>110.0</v>
      </c>
      <c r="I125" s="37">
        <v>4.0</v>
      </c>
      <c r="J125" s="38">
        <v>1.22E7</v>
      </c>
      <c r="K125" s="38">
        <v>8000000.0</v>
      </c>
      <c r="L125" s="40">
        <f>VLOOKUP($A125,'Dataset '!$A:$I,5,0)</f>
        <v>45569</v>
      </c>
      <c r="M125" s="25" t="s">
        <v>2040</v>
      </c>
      <c r="N125" s="38">
        <f t="shared" si="3"/>
        <v>72727.27273</v>
      </c>
      <c r="O125" s="38">
        <f t="shared" ref="O125:P125" si="127">J125/I125</f>
        <v>3050000</v>
      </c>
      <c r="P125" s="41">
        <f t="shared" si="127"/>
        <v>0.6557377049</v>
      </c>
      <c r="Q125" s="37">
        <v>24.0</v>
      </c>
      <c r="R125" s="37">
        <v>0.0</v>
      </c>
      <c r="S125" s="37">
        <v>1.0</v>
      </c>
      <c r="T125" s="37">
        <v>0.0</v>
      </c>
      <c r="U125" s="37">
        <v>0.0</v>
      </c>
      <c r="V125" s="37">
        <v>4.0</v>
      </c>
      <c r="W125" s="25" t="s">
        <v>569</v>
      </c>
    </row>
    <row r="126">
      <c r="A126" s="25" t="s">
        <v>1042</v>
      </c>
      <c r="B126" s="25" t="s">
        <v>52</v>
      </c>
      <c r="C126" s="36" t="s">
        <v>1044</v>
      </c>
      <c r="D126" s="37">
        <v>2018.0</v>
      </c>
      <c r="E126" s="38" t="s">
        <v>1043</v>
      </c>
      <c r="F126" s="38" t="s">
        <v>76</v>
      </c>
      <c r="G126" s="39" t="str">
        <f>VLOOKUP(A126,'Dataset '!A:I,9,0)</f>
        <v>51 - 100</v>
      </c>
      <c r="H126" s="37">
        <v>60.0</v>
      </c>
      <c r="I126" s="37">
        <v>7.0</v>
      </c>
      <c r="J126" s="38">
        <v>2219400.0</v>
      </c>
      <c r="K126" s="38">
        <v>1404000.0</v>
      </c>
      <c r="L126" s="40">
        <f>VLOOKUP($A126,'Dataset '!$A:$I,5,0)</f>
        <v>45747</v>
      </c>
      <c r="M126" s="25" t="s">
        <v>2041</v>
      </c>
      <c r="N126" s="38">
        <f t="shared" si="3"/>
        <v>23400</v>
      </c>
      <c r="O126" s="38">
        <f t="shared" ref="O126:P126" si="128">J126/I126</f>
        <v>317057.1429</v>
      </c>
      <c r="P126" s="41">
        <f t="shared" si="128"/>
        <v>0.6326034063</v>
      </c>
      <c r="Q126" s="37">
        <v>8.0</v>
      </c>
      <c r="R126" s="37">
        <v>0.0</v>
      </c>
      <c r="S126" s="37">
        <v>0.0</v>
      </c>
      <c r="T126" s="37">
        <v>2.0</v>
      </c>
      <c r="U126" s="37">
        <v>0.0</v>
      </c>
      <c r="V126" s="37">
        <v>0.0</v>
      </c>
      <c r="W126" s="25" t="s">
        <v>569</v>
      </c>
    </row>
    <row r="127">
      <c r="A127" s="25" t="s">
        <v>1105</v>
      </c>
      <c r="B127" s="25" t="s">
        <v>52</v>
      </c>
      <c r="C127" s="36" t="s">
        <v>1107</v>
      </c>
      <c r="D127" s="37">
        <v>2017.0</v>
      </c>
      <c r="E127" s="38" t="s">
        <v>1106</v>
      </c>
      <c r="F127" s="38" t="s">
        <v>59</v>
      </c>
      <c r="G127" s="39" t="str">
        <f>VLOOKUP(A127,'Dataset '!A:I,9,0)</f>
        <v>51 - 100</v>
      </c>
      <c r="H127" s="37">
        <v>51.0</v>
      </c>
      <c r="I127" s="37">
        <v>8.0</v>
      </c>
      <c r="J127" s="38">
        <v>1836000.0</v>
      </c>
      <c r="K127" s="38">
        <v>1836000.0</v>
      </c>
      <c r="L127" s="40">
        <f>VLOOKUP($A127,'Dataset '!$A:$I,5,0)</f>
        <v>43411</v>
      </c>
      <c r="M127" s="25" t="s">
        <v>2042</v>
      </c>
      <c r="N127" s="38">
        <f t="shared" si="3"/>
        <v>36000</v>
      </c>
      <c r="O127" s="38">
        <f t="shared" ref="O127:P127" si="129">J127/I127</f>
        <v>229500</v>
      </c>
      <c r="P127" s="41">
        <f t="shared" si="129"/>
        <v>1</v>
      </c>
      <c r="Q127" s="37">
        <v>26.0</v>
      </c>
      <c r="R127" s="37">
        <v>0.0</v>
      </c>
      <c r="S127" s="37">
        <v>1.0</v>
      </c>
      <c r="T127" s="37">
        <v>4.0</v>
      </c>
      <c r="U127" s="37">
        <v>2.0</v>
      </c>
      <c r="V127" s="37">
        <v>4.0</v>
      </c>
      <c r="W127" s="25" t="s">
        <v>595</v>
      </c>
    </row>
    <row r="128">
      <c r="A128" s="25" t="s">
        <v>1315</v>
      </c>
      <c r="B128" s="25" t="s">
        <v>52</v>
      </c>
      <c r="C128" s="36" t="s">
        <v>1805</v>
      </c>
      <c r="D128" s="37">
        <v>2024.0</v>
      </c>
      <c r="E128" s="38" t="s">
        <v>1316</v>
      </c>
      <c r="F128" s="38" t="s">
        <v>38</v>
      </c>
      <c r="G128" s="39" t="str">
        <f>VLOOKUP(A128,'Dataset '!A:I,9,0)</f>
        <v>51 - 100</v>
      </c>
      <c r="H128" s="37">
        <v>66.0</v>
      </c>
      <c r="I128" s="37">
        <v>1.0</v>
      </c>
      <c r="J128" s="38">
        <v>1.1934E7</v>
      </c>
      <c r="K128" s="38">
        <v>1.08E7</v>
      </c>
      <c r="L128" s="40">
        <f>VLOOKUP($A128,'Dataset '!$A:$I,5,0)</f>
        <v>45799</v>
      </c>
      <c r="M128" s="25" t="s">
        <v>2043</v>
      </c>
      <c r="N128" s="38">
        <f t="shared" si="3"/>
        <v>163636.3636</v>
      </c>
      <c r="O128" s="38">
        <f t="shared" ref="O128:P128" si="130">J128/I128</f>
        <v>11934000</v>
      </c>
      <c r="P128" s="41">
        <f t="shared" si="130"/>
        <v>0.9049773756</v>
      </c>
      <c r="Q128" s="37">
        <v>17.0</v>
      </c>
      <c r="R128" s="37">
        <v>0.0</v>
      </c>
      <c r="S128" s="37">
        <v>0.0</v>
      </c>
      <c r="T128" s="37">
        <v>1.0</v>
      </c>
      <c r="U128" s="37">
        <v>0.0</v>
      </c>
      <c r="V128" s="37">
        <v>1.0</v>
      </c>
      <c r="W128" s="25" t="s">
        <v>595</v>
      </c>
    </row>
    <row r="129">
      <c r="A129" s="25" t="s">
        <v>1324</v>
      </c>
      <c r="B129" s="25" t="s">
        <v>52</v>
      </c>
      <c r="C129" s="36" t="s">
        <v>2044</v>
      </c>
      <c r="D129" s="37">
        <v>2006.0</v>
      </c>
      <c r="E129" s="38" t="s">
        <v>1326</v>
      </c>
      <c r="F129" s="38" t="s">
        <v>76</v>
      </c>
      <c r="G129" s="39" t="str">
        <f>VLOOKUP(A129,'Dataset '!A:I,9,0)</f>
        <v>51 - 100</v>
      </c>
      <c r="H129" s="37">
        <v>58.0</v>
      </c>
      <c r="I129" s="37">
        <v>19.0</v>
      </c>
      <c r="J129" s="38">
        <v>1.08E7</v>
      </c>
      <c r="K129" s="38">
        <v>1.08E7</v>
      </c>
      <c r="L129" s="40">
        <f>VLOOKUP($A129,'Dataset '!$A:$I,5,0)</f>
        <v>43448</v>
      </c>
      <c r="M129" s="25" t="s">
        <v>2045</v>
      </c>
      <c r="N129" s="38">
        <f t="shared" si="3"/>
        <v>186206.8966</v>
      </c>
      <c r="O129" s="38">
        <f t="shared" ref="O129:P129" si="131">J129/I129</f>
        <v>568421.0526</v>
      </c>
      <c r="P129" s="41">
        <f t="shared" si="131"/>
        <v>1</v>
      </c>
      <c r="Q129" s="37">
        <v>12.0</v>
      </c>
      <c r="R129" s="37">
        <v>0.0</v>
      </c>
      <c r="S129" s="37">
        <v>0.0</v>
      </c>
      <c r="T129" s="37">
        <v>0.0</v>
      </c>
      <c r="U129" s="37">
        <v>1.0</v>
      </c>
      <c r="V129" s="37">
        <v>1.0</v>
      </c>
      <c r="W129" s="25" t="s">
        <v>558</v>
      </c>
    </row>
    <row r="130">
      <c r="A130" s="25" t="s">
        <v>1282</v>
      </c>
      <c r="B130" s="25" t="s">
        <v>52</v>
      </c>
      <c r="C130" s="36" t="s">
        <v>2046</v>
      </c>
      <c r="D130" s="37">
        <v>2016.0</v>
      </c>
      <c r="E130" s="38" t="s">
        <v>1284</v>
      </c>
      <c r="F130" s="38" t="s">
        <v>38</v>
      </c>
      <c r="G130" s="39" t="str">
        <f>VLOOKUP(A130,'Dataset '!A:I,9,0)</f>
        <v>51 - 100</v>
      </c>
      <c r="H130" s="37">
        <v>63.0</v>
      </c>
      <c r="I130" s="37">
        <v>9.0</v>
      </c>
      <c r="J130" s="38">
        <v>5823441.0</v>
      </c>
      <c r="K130" s="38">
        <v>2700000.0</v>
      </c>
      <c r="L130" s="40">
        <f>VLOOKUP($A130,'Dataset '!$A:$I,5,0)</f>
        <v>45098</v>
      </c>
      <c r="M130" s="25" t="s">
        <v>2047</v>
      </c>
      <c r="N130" s="38">
        <f t="shared" si="3"/>
        <v>42857.14286</v>
      </c>
      <c r="O130" s="38">
        <f t="shared" ref="O130:P130" si="132">J130/I130</f>
        <v>647049</v>
      </c>
      <c r="P130" s="41">
        <f t="shared" si="132"/>
        <v>0.4636434026</v>
      </c>
      <c r="Q130" s="37">
        <v>18.0</v>
      </c>
      <c r="R130" s="37">
        <v>1.0</v>
      </c>
      <c r="S130" s="37">
        <v>0.0</v>
      </c>
      <c r="T130" s="37">
        <v>3.0</v>
      </c>
      <c r="U130" s="37">
        <v>0.0</v>
      </c>
      <c r="V130" s="37">
        <v>2.0</v>
      </c>
      <c r="W130" s="25" t="s">
        <v>558</v>
      </c>
    </row>
    <row r="131">
      <c r="A131" s="25" t="s">
        <v>1434</v>
      </c>
      <c r="B131" s="25" t="s">
        <v>52</v>
      </c>
      <c r="C131" s="36" t="s">
        <v>1438</v>
      </c>
      <c r="D131" s="37">
        <v>2011.0</v>
      </c>
      <c r="E131" s="38" t="s">
        <v>1436</v>
      </c>
      <c r="F131" s="38" t="s">
        <v>59</v>
      </c>
      <c r="G131" s="39" t="str">
        <f>VLOOKUP(A131,'Dataset '!A:I,9,0)</f>
        <v>51 - 100</v>
      </c>
      <c r="H131" s="37">
        <v>54.0</v>
      </c>
      <c r="I131" s="37">
        <v>14.0</v>
      </c>
      <c r="J131" s="38">
        <v>3742200.0</v>
      </c>
      <c r="K131" s="38">
        <v>3742200.0</v>
      </c>
      <c r="L131" s="40">
        <f>VLOOKUP($A131,'Dataset '!$A:$I,5,0)</f>
        <v>42956</v>
      </c>
      <c r="M131" s="25" t="s">
        <v>2048</v>
      </c>
      <c r="N131" s="38">
        <f t="shared" si="3"/>
        <v>69300</v>
      </c>
      <c r="O131" s="38">
        <f t="shared" ref="O131:P131" si="133">J131/I131</f>
        <v>267300</v>
      </c>
      <c r="P131" s="41">
        <f t="shared" si="133"/>
        <v>1</v>
      </c>
      <c r="Q131" s="37">
        <v>12.0</v>
      </c>
      <c r="R131" s="37">
        <v>1.0</v>
      </c>
      <c r="S131" s="37">
        <v>0.0</v>
      </c>
      <c r="T131" s="37">
        <v>2.0</v>
      </c>
      <c r="U131" s="37">
        <v>2.0</v>
      </c>
      <c r="V131" s="37">
        <v>2.0</v>
      </c>
      <c r="W131" s="25" t="s">
        <v>595</v>
      </c>
    </row>
    <row r="132">
      <c r="A132" s="25" t="s">
        <v>1451</v>
      </c>
      <c r="B132" s="25" t="s">
        <v>52</v>
      </c>
      <c r="C132" s="36" t="s">
        <v>1453</v>
      </c>
      <c r="D132" s="37">
        <v>2014.0</v>
      </c>
      <c r="E132" s="38" t="s">
        <v>1452</v>
      </c>
      <c r="F132" s="38" t="s">
        <v>38</v>
      </c>
      <c r="G132" s="39" t="str">
        <f>VLOOKUP(A132,'Dataset '!A:I,9,0)</f>
        <v>51 - 100</v>
      </c>
      <c r="H132" s="37">
        <v>69.0</v>
      </c>
      <c r="I132" s="37">
        <v>11.0</v>
      </c>
      <c r="J132" s="38">
        <v>3780000.0</v>
      </c>
      <c r="K132" s="38">
        <v>3780000.0</v>
      </c>
      <c r="L132" s="40">
        <f>VLOOKUP($A132,'Dataset '!$A:$I,5,0)</f>
        <v>43775</v>
      </c>
      <c r="M132" s="25" t="s">
        <v>1955</v>
      </c>
      <c r="N132" s="38">
        <f t="shared" si="3"/>
        <v>54782.6087</v>
      </c>
      <c r="O132" s="38">
        <f t="shared" ref="O132:P132" si="134">J132/I132</f>
        <v>343636.3636</v>
      </c>
      <c r="P132" s="41">
        <f t="shared" si="134"/>
        <v>1</v>
      </c>
      <c r="Q132" s="37">
        <v>9.0</v>
      </c>
      <c r="R132" s="37">
        <v>0.0</v>
      </c>
      <c r="S132" s="37">
        <v>1.0</v>
      </c>
      <c r="T132" s="37">
        <v>2.0</v>
      </c>
      <c r="U132" s="37">
        <v>1.0</v>
      </c>
      <c r="V132" s="37">
        <v>0.0</v>
      </c>
      <c r="W132" s="25" t="s">
        <v>558</v>
      </c>
    </row>
    <row r="133">
      <c r="A133" s="25" t="s">
        <v>1463</v>
      </c>
      <c r="B133" s="25" t="s">
        <v>52</v>
      </c>
      <c r="C133" s="36" t="s">
        <v>1474</v>
      </c>
      <c r="D133" s="37">
        <v>2022.0</v>
      </c>
      <c r="E133" s="38" t="s">
        <v>1464</v>
      </c>
      <c r="F133" s="38" t="s">
        <v>59</v>
      </c>
      <c r="G133" s="39" t="str">
        <f>VLOOKUP(A133,'Dataset '!A:I,9,0)</f>
        <v>51 - 100</v>
      </c>
      <c r="H133" s="37">
        <v>52.0</v>
      </c>
      <c r="I133" s="37">
        <v>3.0</v>
      </c>
      <c r="J133" s="38">
        <v>4404240.0</v>
      </c>
      <c r="K133" s="38">
        <v>4320000.0</v>
      </c>
      <c r="L133" s="40">
        <f>VLOOKUP($A133,'Dataset '!$A:$I,5,0)</f>
        <v>45636</v>
      </c>
      <c r="M133" s="25" t="s">
        <v>2049</v>
      </c>
      <c r="N133" s="38">
        <f t="shared" si="3"/>
        <v>83076.92308</v>
      </c>
      <c r="O133" s="38">
        <f t="shared" ref="O133:P133" si="135">J133/I133</f>
        <v>1468080</v>
      </c>
      <c r="P133" s="41">
        <f t="shared" si="135"/>
        <v>0.9808729769</v>
      </c>
      <c r="Q133" s="37">
        <v>22.0</v>
      </c>
      <c r="R133" s="37">
        <v>1.0</v>
      </c>
      <c r="S133" s="37">
        <v>0.0</v>
      </c>
      <c r="T133" s="37">
        <v>1.0</v>
      </c>
      <c r="U133" s="37">
        <v>0.0</v>
      </c>
      <c r="V133" s="37">
        <v>2.0</v>
      </c>
      <c r="W133" s="25" t="s">
        <v>558</v>
      </c>
    </row>
    <row r="134">
      <c r="A134" s="36" t="s">
        <v>1469</v>
      </c>
      <c r="B134" s="25" t="s">
        <v>52</v>
      </c>
      <c r="C134" s="36" t="s">
        <v>2050</v>
      </c>
      <c r="D134" s="37">
        <v>2016.0</v>
      </c>
      <c r="E134" s="38" t="s">
        <v>1470</v>
      </c>
      <c r="F134" s="38" t="s">
        <v>38</v>
      </c>
      <c r="G134" s="39" t="str">
        <f>VLOOKUP(A134,'Dataset '!A:I,9,0)</f>
        <v>51 - 100</v>
      </c>
      <c r="H134" s="37">
        <v>42.0</v>
      </c>
      <c r="I134" s="37">
        <v>9.0</v>
      </c>
      <c r="J134" s="38">
        <v>5299560.0</v>
      </c>
      <c r="K134" s="38">
        <v>4752000.0</v>
      </c>
      <c r="L134" s="40">
        <f>VLOOKUP($A134,'Dataset '!$A:$I,5,0)</f>
        <v>44994</v>
      </c>
      <c r="M134" s="25" t="s">
        <v>2051</v>
      </c>
      <c r="N134" s="38">
        <f t="shared" si="3"/>
        <v>113142.8571</v>
      </c>
      <c r="O134" s="38">
        <f t="shared" ref="O134:P134" si="136">J134/I134</f>
        <v>588840</v>
      </c>
      <c r="P134" s="41">
        <f t="shared" si="136"/>
        <v>0.8966782148</v>
      </c>
      <c r="Q134" s="37">
        <v>22.0</v>
      </c>
      <c r="R134" s="37">
        <v>1.0</v>
      </c>
      <c r="S134" s="37">
        <v>3.0</v>
      </c>
      <c r="T134" s="37">
        <v>3.0</v>
      </c>
      <c r="U134" s="37">
        <v>0.0</v>
      </c>
      <c r="V134" s="37">
        <v>2.0</v>
      </c>
      <c r="W134" s="25" t="s">
        <v>558</v>
      </c>
    </row>
    <row r="135">
      <c r="A135" s="25" t="s">
        <v>1518</v>
      </c>
      <c r="B135" s="25" t="s">
        <v>52</v>
      </c>
      <c r="C135" s="36" t="s">
        <v>1662</v>
      </c>
      <c r="D135" s="37">
        <v>2016.0</v>
      </c>
      <c r="E135" s="38" t="s">
        <v>1519</v>
      </c>
      <c r="F135" s="38" t="s">
        <v>76</v>
      </c>
      <c r="G135" s="39" t="str">
        <f>VLOOKUP(A135,'Dataset '!A:I,9,0)</f>
        <v>51 - 100</v>
      </c>
      <c r="H135" s="37">
        <v>53.0</v>
      </c>
      <c r="I135" s="37">
        <v>9.0</v>
      </c>
      <c r="J135" s="38">
        <v>6588000.0</v>
      </c>
      <c r="K135" s="38">
        <v>6048000.0</v>
      </c>
      <c r="L135" s="40">
        <f>VLOOKUP($A135,'Dataset '!$A:$I,5,0)</f>
        <v>44845</v>
      </c>
      <c r="M135" s="25" t="s">
        <v>2052</v>
      </c>
      <c r="N135" s="38">
        <f t="shared" si="3"/>
        <v>114113.2075</v>
      </c>
      <c r="O135" s="38">
        <f t="shared" ref="O135:P135" si="137">J135/I135</f>
        <v>732000</v>
      </c>
      <c r="P135" s="41">
        <f t="shared" si="137"/>
        <v>0.9180327869</v>
      </c>
      <c r="Q135" s="37">
        <v>15.0</v>
      </c>
      <c r="R135" s="37">
        <v>0.0</v>
      </c>
      <c r="S135" s="37">
        <v>1.0</v>
      </c>
      <c r="T135" s="37">
        <v>0.0</v>
      </c>
      <c r="U135" s="37">
        <v>0.0</v>
      </c>
      <c r="V135" s="37">
        <v>3.0</v>
      </c>
      <c r="W135" s="25" t="s">
        <v>558</v>
      </c>
    </row>
    <row r="136">
      <c r="A136" s="25" t="s">
        <v>1530</v>
      </c>
      <c r="B136" s="25" t="s">
        <v>52</v>
      </c>
      <c r="C136" s="36" t="s">
        <v>1707</v>
      </c>
      <c r="D136" s="37">
        <v>2019.0</v>
      </c>
      <c r="E136" s="38" t="s">
        <v>1531</v>
      </c>
      <c r="F136" s="38" t="s">
        <v>59</v>
      </c>
      <c r="G136" s="39" t="str">
        <f>VLOOKUP(A136,'Dataset '!A:I,9,0)</f>
        <v>51 - 100</v>
      </c>
      <c r="H136" s="37">
        <v>110.0</v>
      </c>
      <c r="I136" s="37">
        <v>6.0</v>
      </c>
      <c r="J136" s="38">
        <v>1.4148E7</v>
      </c>
      <c r="K136" s="38">
        <v>6480000.0</v>
      </c>
      <c r="L136" s="40">
        <f>VLOOKUP($A136,'Dataset '!$A:$I,5,0)</f>
        <v>45779</v>
      </c>
      <c r="M136" s="25" t="s">
        <v>2053</v>
      </c>
      <c r="N136" s="38">
        <f t="shared" si="3"/>
        <v>58909.09091</v>
      </c>
      <c r="O136" s="38">
        <f t="shared" ref="O136:P136" si="138">J136/I136</f>
        <v>2358000</v>
      </c>
      <c r="P136" s="41">
        <f t="shared" si="138"/>
        <v>0.4580152672</v>
      </c>
      <c r="Q136" s="37">
        <v>13.0</v>
      </c>
      <c r="R136" s="37">
        <v>0.0</v>
      </c>
      <c r="S136" s="37">
        <v>1.0</v>
      </c>
      <c r="T136" s="37">
        <v>2.0</v>
      </c>
      <c r="U136" s="37">
        <v>0.0</v>
      </c>
      <c r="V136" s="37">
        <v>2.0</v>
      </c>
      <c r="W136" s="25" t="s">
        <v>595</v>
      </c>
    </row>
    <row r="137">
      <c r="A137" s="25" t="s">
        <v>1543</v>
      </c>
      <c r="B137" s="25" t="s">
        <v>52</v>
      </c>
      <c r="C137" s="36" t="s">
        <v>1733</v>
      </c>
      <c r="D137" s="37">
        <v>2015.0</v>
      </c>
      <c r="E137" s="38" t="s">
        <v>1544</v>
      </c>
      <c r="F137" s="38" t="s">
        <v>76</v>
      </c>
      <c r="G137" s="39" t="str">
        <f>VLOOKUP(A137,'Dataset '!A:I,9,0)</f>
        <v>51 - 100</v>
      </c>
      <c r="H137" s="37">
        <v>60.0</v>
      </c>
      <c r="I137" s="37">
        <v>10.0</v>
      </c>
      <c r="J137" s="38">
        <v>1.2042E7</v>
      </c>
      <c r="K137" s="38">
        <v>7560000.0</v>
      </c>
      <c r="L137" s="40">
        <f>VLOOKUP($A137,'Dataset '!$A:$I,5,0)</f>
        <v>45369</v>
      </c>
      <c r="M137" s="25" t="s">
        <v>2054</v>
      </c>
      <c r="N137" s="38">
        <f t="shared" si="3"/>
        <v>126000</v>
      </c>
      <c r="O137" s="38">
        <f t="shared" ref="O137:P137" si="139">J137/I137</f>
        <v>1204200</v>
      </c>
      <c r="P137" s="41">
        <f t="shared" si="139"/>
        <v>0.6278026906</v>
      </c>
      <c r="Q137" s="37">
        <v>44.0</v>
      </c>
      <c r="R137" s="37">
        <v>1.0</v>
      </c>
      <c r="S137" s="37">
        <v>3.0</v>
      </c>
      <c r="T137" s="37">
        <v>8.0</v>
      </c>
      <c r="U137" s="37">
        <v>2.0</v>
      </c>
      <c r="V137" s="37">
        <v>2.0</v>
      </c>
      <c r="W137" s="25" t="s">
        <v>558</v>
      </c>
    </row>
    <row r="138">
      <c r="A138" s="36" t="s">
        <v>1340</v>
      </c>
      <c r="B138" s="25" t="s">
        <v>48</v>
      </c>
      <c r="C138" s="36" t="s">
        <v>1346</v>
      </c>
      <c r="D138" s="37">
        <v>2021.0</v>
      </c>
      <c r="E138" s="38" t="s">
        <v>1343</v>
      </c>
      <c r="F138" s="38" t="s">
        <v>76</v>
      </c>
      <c r="G138" s="39" t="str">
        <f>VLOOKUP(A138,'Dataset '!A:I,9,0)</f>
        <v>51 - 100</v>
      </c>
      <c r="H138" s="37">
        <v>63.0</v>
      </c>
      <c r="I138" s="37">
        <v>4.0</v>
      </c>
      <c r="J138" s="38">
        <v>5184000.0</v>
      </c>
      <c r="K138" s="38">
        <v>3060000.0</v>
      </c>
      <c r="L138" s="40">
        <f>VLOOKUP($A138,'Dataset '!$A:$I,5,0)</f>
        <v>46000</v>
      </c>
      <c r="M138" s="25" t="s">
        <v>2055</v>
      </c>
      <c r="N138" s="38">
        <f t="shared" si="3"/>
        <v>48571.42857</v>
      </c>
      <c r="O138" s="38">
        <f t="shared" ref="O138:P138" si="140">J138/I138</f>
        <v>1296000</v>
      </c>
      <c r="P138" s="41">
        <f t="shared" si="140"/>
        <v>0.5902777778</v>
      </c>
      <c r="Q138" s="37">
        <v>31.0</v>
      </c>
      <c r="R138" s="37">
        <v>1.0</v>
      </c>
      <c r="S138" s="37">
        <v>1.0</v>
      </c>
      <c r="T138" s="37">
        <v>4.0</v>
      </c>
      <c r="U138" s="37">
        <v>1.0</v>
      </c>
      <c r="V138" s="37">
        <v>2.0</v>
      </c>
      <c r="W138" s="25" t="s">
        <v>558</v>
      </c>
    </row>
    <row r="139">
      <c r="A139" s="25" t="s">
        <v>1456</v>
      </c>
      <c r="B139" s="25" t="s">
        <v>48</v>
      </c>
      <c r="C139" s="36" t="s">
        <v>1458</v>
      </c>
      <c r="D139" s="37">
        <v>2021.0</v>
      </c>
      <c r="E139" s="38" t="s">
        <v>1457</v>
      </c>
      <c r="F139" s="38" t="s">
        <v>59</v>
      </c>
      <c r="G139" s="39" t="str">
        <f>VLOOKUP(A139,'Dataset '!A:I,9,0)</f>
        <v>51 - 100</v>
      </c>
      <c r="H139" s="37">
        <v>74.0</v>
      </c>
      <c r="I139" s="37">
        <v>4.0</v>
      </c>
      <c r="J139" s="38">
        <v>6000000.0</v>
      </c>
      <c r="K139" s="38">
        <v>3780000.0</v>
      </c>
      <c r="L139" s="40">
        <f>VLOOKUP($A139,'Dataset '!$A:$I,5,0)</f>
        <v>44874</v>
      </c>
      <c r="M139" s="25" t="s">
        <v>2037</v>
      </c>
      <c r="N139" s="38">
        <f t="shared" si="3"/>
        <v>51081.08108</v>
      </c>
      <c r="O139" s="38">
        <f t="shared" ref="O139:P139" si="141">J139/I139</f>
        <v>1500000</v>
      </c>
      <c r="P139" s="41">
        <f t="shared" si="141"/>
        <v>0.63</v>
      </c>
      <c r="Q139" s="37">
        <v>26.0</v>
      </c>
      <c r="R139" s="37">
        <v>0.0</v>
      </c>
      <c r="S139" s="37">
        <v>1.0</v>
      </c>
      <c r="T139" s="37">
        <v>1.0</v>
      </c>
      <c r="U139" s="37">
        <v>2.0</v>
      </c>
      <c r="V139" s="37">
        <v>2.0</v>
      </c>
      <c r="W139" s="25" t="s">
        <v>595</v>
      </c>
    </row>
    <row r="140">
      <c r="A140" s="25" t="s">
        <v>1609</v>
      </c>
      <c r="B140" s="25" t="s">
        <v>48</v>
      </c>
      <c r="C140" s="36" t="s">
        <v>1612</v>
      </c>
      <c r="D140" s="37">
        <v>2019.0</v>
      </c>
      <c r="E140" s="38" t="s">
        <v>1610</v>
      </c>
      <c r="F140" s="38" t="s">
        <v>76</v>
      </c>
      <c r="G140" s="39" t="str">
        <f>VLOOKUP(A140,'Dataset '!A:I,9,0)</f>
        <v>51 - 100</v>
      </c>
      <c r="H140" s="37">
        <v>84.0</v>
      </c>
      <c r="I140" s="37">
        <v>6.0</v>
      </c>
      <c r="J140" s="38">
        <v>7300000.0</v>
      </c>
      <c r="K140" s="38">
        <v>5760000.0</v>
      </c>
      <c r="L140" s="40">
        <f>VLOOKUP($A140,'Dataset '!$A:$I,5,0)</f>
        <v>44474</v>
      </c>
      <c r="M140" s="25" t="s">
        <v>2056</v>
      </c>
      <c r="N140" s="38">
        <f t="shared" si="3"/>
        <v>68571.42857</v>
      </c>
      <c r="O140" s="38">
        <f t="shared" ref="O140:P140" si="142">J140/I140</f>
        <v>1216666.667</v>
      </c>
      <c r="P140" s="41">
        <f t="shared" si="142"/>
        <v>0.7890410959</v>
      </c>
      <c r="Q140" s="37">
        <v>17.0</v>
      </c>
      <c r="R140" s="37">
        <v>0.0</v>
      </c>
      <c r="S140" s="37">
        <v>0.0</v>
      </c>
      <c r="T140" s="37">
        <v>0.0</v>
      </c>
      <c r="U140" s="37">
        <v>3.0</v>
      </c>
      <c r="V140" s="37">
        <v>2.0</v>
      </c>
      <c r="W140" s="25" t="s">
        <v>569</v>
      </c>
    </row>
    <row r="141">
      <c r="A141" s="25" t="s">
        <v>1637</v>
      </c>
      <c r="B141" s="25" t="s">
        <v>48</v>
      </c>
      <c r="C141" s="36" t="s">
        <v>1681</v>
      </c>
      <c r="D141" s="37">
        <v>2025.0</v>
      </c>
      <c r="E141" s="38" t="s">
        <v>1638</v>
      </c>
      <c r="F141" s="38" t="s">
        <v>59</v>
      </c>
      <c r="G141" s="39" t="str">
        <f>VLOOKUP(A141,'Dataset '!A:I,9,0)</f>
        <v>51 - 100</v>
      </c>
      <c r="H141" s="37">
        <v>70.0</v>
      </c>
      <c r="I141" s="37">
        <v>0.0</v>
      </c>
      <c r="J141" s="38">
        <v>6300000.0</v>
      </c>
      <c r="K141" s="38">
        <v>6300000.0</v>
      </c>
      <c r="L141" s="40">
        <f>VLOOKUP($A141,'Dataset '!$A:$I,5,0)</f>
        <v>45874</v>
      </c>
      <c r="M141" s="25" t="s">
        <v>2057</v>
      </c>
      <c r="N141" s="38">
        <f t="shared" si="3"/>
        <v>90000</v>
      </c>
      <c r="O141" s="25" t="str">
        <f t="shared" ref="O141:P141" si="143">J141/I141</f>
        <v>#DIV/0!</v>
      </c>
      <c r="P141" s="41">
        <f t="shared" si="143"/>
        <v>1</v>
      </c>
      <c r="Q141" s="37">
        <v>35.0</v>
      </c>
      <c r="R141" s="37">
        <v>1.0</v>
      </c>
      <c r="S141" s="37">
        <v>5.0</v>
      </c>
      <c r="T141" s="37">
        <v>5.0</v>
      </c>
      <c r="U141" s="37">
        <v>2.0</v>
      </c>
      <c r="V141" s="37">
        <v>0.0</v>
      </c>
      <c r="W141" s="25" t="s">
        <v>550</v>
      </c>
    </row>
    <row r="142">
      <c r="A142" s="25" t="s">
        <v>1691</v>
      </c>
      <c r="B142" s="25" t="s">
        <v>48</v>
      </c>
      <c r="C142" s="36" t="s">
        <v>1913</v>
      </c>
      <c r="D142" s="37">
        <v>2022.0</v>
      </c>
      <c r="E142" s="38" t="s">
        <v>1692</v>
      </c>
      <c r="F142" s="38" t="s">
        <v>76</v>
      </c>
      <c r="G142" s="39" t="str">
        <f>VLOOKUP(A142,'Dataset '!A:I,9,0)</f>
        <v>51 - 100</v>
      </c>
      <c r="H142" s="37">
        <v>240.0</v>
      </c>
      <c r="I142" s="37">
        <v>3.0</v>
      </c>
      <c r="J142" s="38">
        <v>2.3313393E7</v>
      </c>
      <c r="K142" s="38">
        <v>1.8E7</v>
      </c>
      <c r="L142" s="40">
        <f>VLOOKUP($A142,'Dataset '!$A:$I,5,0)</f>
        <v>46075</v>
      </c>
      <c r="M142" s="25" t="s">
        <v>2058</v>
      </c>
      <c r="N142" s="38">
        <f t="shared" si="3"/>
        <v>75000</v>
      </c>
      <c r="O142" s="38">
        <f t="shared" ref="O142:P142" si="144">J142/I142</f>
        <v>7771131</v>
      </c>
      <c r="P142" s="41">
        <f t="shared" si="144"/>
        <v>0.7720883871</v>
      </c>
      <c r="Q142" s="37">
        <v>23.0</v>
      </c>
      <c r="R142" s="37">
        <v>0.0</v>
      </c>
      <c r="S142" s="37">
        <v>0.0</v>
      </c>
      <c r="T142" s="37">
        <v>2.0</v>
      </c>
      <c r="U142" s="37">
        <v>1.0</v>
      </c>
      <c r="V142" s="37">
        <v>3.0</v>
      </c>
      <c r="W142" s="25" t="s">
        <v>558</v>
      </c>
    </row>
    <row r="143">
      <c r="A143" s="25" t="s">
        <v>1701</v>
      </c>
      <c r="B143" s="25" t="s">
        <v>48</v>
      </c>
      <c r="C143" s="36" t="s">
        <v>1916</v>
      </c>
      <c r="D143" s="37">
        <v>2022.0</v>
      </c>
      <c r="E143" s="38" t="s">
        <v>1702</v>
      </c>
      <c r="F143" s="38" t="s">
        <v>76</v>
      </c>
      <c r="G143" s="39" t="str">
        <f>VLOOKUP(A143,'Dataset '!A:I,9,0)</f>
        <v>51 - 100</v>
      </c>
      <c r="H143" s="25">
        <v>75.0</v>
      </c>
      <c r="I143" s="37">
        <v>3.0</v>
      </c>
      <c r="J143" s="38">
        <v>3.1131109E7</v>
      </c>
      <c r="K143" s="38">
        <v>1.8E7</v>
      </c>
      <c r="L143" s="40">
        <f>VLOOKUP($A143,'Dataset '!$A:$I,5,0)</f>
        <v>45868</v>
      </c>
      <c r="M143" s="25" t="s">
        <v>2059</v>
      </c>
      <c r="N143" s="38">
        <f t="shared" si="3"/>
        <v>240000</v>
      </c>
      <c r="O143" s="38">
        <f t="shared" ref="O143:P143" si="145">J143/I143</f>
        <v>10377036.33</v>
      </c>
      <c r="P143" s="41">
        <f t="shared" si="145"/>
        <v>0.578199768</v>
      </c>
      <c r="Q143" s="37">
        <v>0.0</v>
      </c>
      <c r="R143" s="37">
        <v>0.0</v>
      </c>
      <c r="S143" s="37">
        <v>0.0</v>
      </c>
      <c r="T143" s="37">
        <v>0.0</v>
      </c>
      <c r="U143" s="37">
        <v>0.0</v>
      </c>
      <c r="V143" s="37">
        <v>0.0</v>
      </c>
      <c r="W143" s="25" t="s">
        <v>550</v>
      </c>
    </row>
    <row r="144">
      <c r="A144" s="25" t="s">
        <v>1705</v>
      </c>
      <c r="B144" s="25" t="s">
        <v>48</v>
      </c>
      <c r="C144" s="36" t="s">
        <v>1921</v>
      </c>
      <c r="D144" s="37">
        <v>2025.0</v>
      </c>
      <c r="E144" s="38" t="s">
        <v>1706</v>
      </c>
      <c r="F144" s="38" t="s">
        <v>59</v>
      </c>
      <c r="G144" s="39" t="str">
        <f>VLOOKUP(A144,'Dataset '!A:I,9,0)</f>
        <v>51 - 100</v>
      </c>
      <c r="H144" s="37">
        <v>76.0</v>
      </c>
      <c r="I144" s="37">
        <v>0.0</v>
      </c>
      <c r="J144" s="38">
        <v>1.8E7</v>
      </c>
      <c r="K144" s="38">
        <v>1.8E7</v>
      </c>
      <c r="L144" s="40">
        <f>VLOOKUP($A144,'Dataset '!$A:$I,5,0)</f>
        <v>46009</v>
      </c>
      <c r="M144" s="25" t="s">
        <v>2060</v>
      </c>
      <c r="N144" s="38">
        <f t="shared" si="3"/>
        <v>236842.1053</v>
      </c>
      <c r="O144" s="25" t="str">
        <f t="shared" ref="O144:P144" si="146">J144/I144</f>
        <v>#DIV/0!</v>
      </c>
      <c r="P144" s="41">
        <f t="shared" si="146"/>
        <v>1</v>
      </c>
      <c r="Q144" s="37">
        <v>12.0</v>
      </c>
      <c r="R144" s="37">
        <v>1.0</v>
      </c>
      <c r="S144" s="37">
        <v>1.0</v>
      </c>
      <c r="T144" s="37">
        <v>1.0</v>
      </c>
      <c r="U144" s="37">
        <v>0.0</v>
      </c>
      <c r="V144" s="37">
        <v>1.0</v>
      </c>
      <c r="W144" s="25" t="s">
        <v>558</v>
      </c>
    </row>
    <row r="145">
      <c r="A145" s="25" t="s">
        <v>1724</v>
      </c>
      <c r="B145" s="25" t="s">
        <v>48</v>
      </c>
      <c r="C145" s="36" t="s">
        <v>2061</v>
      </c>
      <c r="D145" s="37">
        <v>2020.0</v>
      </c>
      <c r="E145" s="38" t="s">
        <v>1725</v>
      </c>
      <c r="F145" s="38" t="s">
        <v>76</v>
      </c>
      <c r="G145" s="39" t="str">
        <f>VLOOKUP(A145,'Dataset '!A:I,9,0)</f>
        <v>51 - 100</v>
      </c>
      <c r="H145" s="37">
        <v>77.0</v>
      </c>
      <c r="I145" s="37">
        <v>5.0</v>
      </c>
      <c r="J145" s="38">
        <v>2.25E7</v>
      </c>
      <c r="K145" s="38">
        <v>2.25E7</v>
      </c>
      <c r="L145" s="40">
        <f>VLOOKUP($A145,'Dataset '!$A:$I,5,0)</f>
        <v>45952</v>
      </c>
      <c r="M145" s="25" t="s">
        <v>1941</v>
      </c>
      <c r="N145" s="38">
        <f t="shared" si="3"/>
        <v>292207.7922</v>
      </c>
      <c r="O145" s="38">
        <f t="shared" ref="O145:P145" si="147">J145/I145</f>
        <v>4500000</v>
      </c>
      <c r="P145" s="41">
        <f t="shared" si="147"/>
        <v>1</v>
      </c>
      <c r="Q145" s="37">
        <v>8.0</v>
      </c>
      <c r="R145" s="37">
        <v>0.0</v>
      </c>
      <c r="S145" s="37">
        <v>1.0</v>
      </c>
      <c r="T145" s="37">
        <v>0.0</v>
      </c>
      <c r="U145" s="37">
        <v>0.0</v>
      </c>
      <c r="V145" s="37">
        <v>1.0</v>
      </c>
      <c r="W145" s="25" t="s">
        <v>558</v>
      </c>
    </row>
    <row r="146">
      <c r="A146" s="25" t="s">
        <v>1735</v>
      </c>
      <c r="B146" s="25" t="s">
        <v>48</v>
      </c>
      <c r="C146" s="36" t="s">
        <v>1943</v>
      </c>
      <c r="D146" s="37">
        <v>2018.0</v>
      </c>
      <c r="E146" s="38" t="s">
        <v>137</v>
      </c>
      <c r="F146" s="38" t="s">
        <v>76</v>
      </c>
      <c r="G146" s="39" t="str">
        <f>VLOOKUP(A146,'Dataset '!A:I,9,0)</f>
        <v>51 - 100</v>
      </c>
      <c r="H146" s="37">
        <v>85.0</v>
      </c>
      <c r="I146" s="37">
        <v>7.0</v>
      </c>
      <c r="J146" s="38">
        <v>2.43E7</v>
      </c>
      <c r="K146" s="38">
        <v>2.43E7</v>
      </c>
      <c r="L146" s="40">
        <f>VLOOKUP($A146,'Dataset '!$A:$I,5,0)</f>
        <v>44328</v>
      </c>
      <c r="M146" s="25" t="s">
        <v>2062</v>
      </c>
      <c r="N146" s="38">
        <f t="shared" si="3"/>
        <v>285882.3529</v>
      </c>
      <c r="O146" s="38">
        <f t="shared" ref="O146:P146" si="148">J146/I146</f>
        <v>3471428.571</v>
      </c>
      <c r="P146" s="41">
        <f t="shared" si="148"/>
        <v>1</v>
      </c>
      <c r="Q146" s="37">
        <v>12.0</v>
      </c>
      <c r="R146" s="37">
        <v>1.0</v>
      </c>
      <c r="S146" s="37">
        <v>0.0</v>
      </c>
      <c r="T146" s="37">
        <v>2.0</v>
      </c>
      <c r="U146" s="37">
        <v>0.0</v>
      </c>
      <c r="V146" s="37">
        <v>2.0</v>
      </c>
      <c r="W146" s="25" t="s">
        <v>558</v>
      </c>
    </row>
    <row r="147">
      <c r="A147" s="25" t="s">
        <v>1363</v>
      </c>
      <c r="B147" s="25" t="s">
        <v>48</v>
      </c>
      <c r="C147" s="36" t="s">
        <v>1365</v>
      </c>
      <c r="D147" s="37">
        <v>2020.0</v>
      </c>
      <c r="E147" s="38" t="s">
        <v>1364</v>
      </c>
      <c r="F147" s="38" t="s">
        <v>59</v>
      </c>
      <c r="G147" s="39" t="str">
        <f>VLOOKUP(A147,'Dataset '!A:I,9,0)</f>
        <v>51 - 100</v>
      </c>
      <c r="H147" s="37">
        <v>57.0</v>
      </c>
      <c r="I147" s="37">
        <v>5.0</v>
      </c>
      <c r="J147" s="38">
        <v>2.2053722E7</v>
      </c>
      <c r="K147" s="38">
        <v>3060000.0</v>
      </c>
      <c r="L147" s="40">
        <f>VLOOKUP($A147,'Dataset '!$A:$I,5,0)</f>
        <v>45631</v>
      </c>
      <c r="M147" s="25" t="s">
        <v>2063</v>
      </c>
      <c r="N147" s="38">
        <f t="shared" si="3"/>
        <v>53684.21053</v>
      </c>
      <c r="O147" s="38">
        <f t="shared" ref="O147:P147" si="149">J147/I147</f>
        <v>4410744.4</v>
      </c>
      <c r="P147" s="41">
        <f t="shared" si="149"/>
        <v>0.1387520891</v>
      </c>
      <c r="Q147" s="37">
        <v>13.0</v>
      </c>
      <c r="R147" s="37">
        <v>0.0</v>
      </c>
      <c r="S147" s="37">
        <v>2.0</v>
      </c>
      <c r="T147" s="37">
        <v>1.0</v>
      </c>
      <c r="U147" s="37">
        <v>0.0</v>
      </c>
      <c r="V147" s="37">
        <v>1.0</v>
      </c>
      <c r="W147" s="25" t="s">
        <v>595</v>
      </c>
    </row>
    <row r="148">
      <c r="A148" s="25" t="s">
        <v>661</v>
      </c>
      <c r="B148" s="25" t="s">
        <v>48</v>
      </c>
      <c r="C148" s="36" t="s">
        <v>667</v>
      </c>
      <c r="D148" s="37">
        <v>2016.0</v>
      </c>
      <c r="E148" s="38" t="s">
        <v>663</v>
      </c>
      <c r="F148" s="38" t="s">
        <v>38</v>
      </c>
      <c r="G148" s="39" t="str">
        <f>VLOOKUP(A148,'Dataset '!A:I,9,0)</f>
        <v>51 - 100</v>
      </c>
      <c r="H148" s="37">
        <v>56.0</v>
      </c>
      <c r="I148" s="37">
        <v>9.0</v>
      </c>
      <c r="J148" s="38">
        <v>1021880.0</v>
      </c>
      <c r="K148" s="38">
        <v>486000.0</v>
      </c>
      <c r="L148" s="40">
        <f>VLOOKUP($A148,'Dataset '!$A:$I,5,0)</f>
        <v>46077</v>
      </c>
      <c r="M148" s="25" t="s">
        <v>2064</v>
      </c>
      <c r="N148" s="38">
        <f t="shared" si="3"/>
        <v>8678.571429</v>
      </c>
      <c r="O148" s="38">
        <f t="shared" ref="O148:P148" si="150">J148/I148</f>
        <v>113542.2222</v>
      </c>
      <c r="P148" s="41">
        <f t="shared" si="150"/>
        <v>0.4755940032</v>
      </c>
      <c r="Q148" s="37">
        <v>37.0</v>
      </c>
      <c r="R148" s="37">
        <v>1.0</v>
      </c>
      <c r="S148" s="37">
        <v>4.0</v>
      </c>
      <c r="T148" s="37">
        <v>4.0</v>
      </c>
      <c r="U148" s="37">
        <v>1.0</v>
      </c>
      <c r="V148" s="37">
        <v>3.0</v>
      </c>
      <c r="W148" s="25" t="s">
        <v>558</v>
      </c>
    </row>
    <row r="149">
      <c r="A149" s="25" t="s">
        <v>1427</v>
      </c>
      <c r="B149" s="25" t="s">
        <v>48</v>
      </c>
      <c r="C149" s="36" t="s">
        <v>1431</v>
      </c>
      <c r="D149" s="37">
        <v>2018.0</v>
      </c>
      <c r="E149" s="38" t="s">
        <v>1429</v>
      </c>
      <c r="F149" s="38" t="s">
        <v>76</v>
      </c>
      <c r="G149" s="39" t="str">
        <f>VLOOKUP(A149,'Dataset '!A:I,9,0)</f>
        <v>51 - 100</v>
      </c>
      <c r="H149" s="37">
        <v>51.0</v>
      </c>
      <c r="I149" s="37">
        <v>7.0</v>
      </c>
      <c r="J149" s="38">
        <v>7598489.0</v>
      </c>
      <c r="K149" s="38">
        <v>3600000.0</v>
      </c>
      <c r="L149" s="40">
        <f>VLOOKUP($A149,'Dataset '!$A:$I,5,0)</f>
        <v>45931</v>
      </c>
      <c r="M149" s="25" t="s">
        <v>2065</v>
      </c>
      <c r="N149" s="38">
        <f t="shared" si="3"/>
        <v>70588.23529</v>
      </c>
      <c r="O149" s="38">
        <f t="shared" ref="O149:P149" si="151">J149/I149</f>
        <v>1085498.429</v>
      </c>
      <c r="P149" s="41">
        <f t="shared" si="151"/>
        <v>0.4737784052</v>
      </c>
      <c r="Q149" s="37">
        <v>24.0</v>
      </c>
      <c r="R149" s="37">
        <v>1.0</v>
      </c>
      <c r="S149" s="37">
        <v>0.0</v>
      </c>
      <c r="T149" s="37">
        <v>1.0</v>
      </c>
      <c r="U149" s="37">
        <v>2.0</v>
      </c>
      <c r="V149" s="37">
        <v>4.0</v>
      </c>
      <c r="W149" s="25" t="s">
        <v>558</v>
      </c>
    </row>
    <row r="150">
      <c r="A150" s="25" t="s">
        <v>1523</v>
      </c>
      <c r="B150" s="25" t="s">
        <v>48</v>
      </c>
      <c r="C150" s="36" t="s">
        <v>1526</v>
      </c>
      <c r="D150" s="37">
        <v>2020.0</v>
      </c>
      <c r="E150" s="38" t="s">
        <v>1524</v>
      </c>
      <c r="F150" s="38" t="s">
        <v>59</v>
      </c>
      <c r="G150" s="39" t="str">
        <f>VLOOKUP(A150,'Dataset '!A:I,9,0)</f>
        <v>51 - 100</v>
      </c>
      <c r="H150" s="37">
        <v>39.0</v>
      </c>
      <c r="I150" s="37">
        <v>5.0</v>
      </c>
      <c r="J150" s="38">
        <v>5040000.0</v>
      </c>
      <c r="K150" s="38">
        <v>5040000.0</v>
      </c>
      <c r="L150" s="40">
        <f>VLOOKUP($A150,'Dataset '!$A:$I,5,0)</f>
        <v>44308</v>
      </c>
      <c r="M150" s="25" t="s">
        <v>2066</v>
      </c>
      <c r="N150" s="38">
        <f t="shared" si="3"/>
        <v>129230.7692</v>
      </c>
      <c r="O150" s="38">
        <f t="shared" ref="O150:P150" si="152">J150/I150</f>
        <v>1008000</v>
      </c>
      <c r="P150" s="41">
        <f t="shared" si="152"/>
        <v>1</v>
      </c>
      <c r="Q150" s="37">
        <v>14.0</v>
      </c>
      <c r="R150" s="37">
        <v>1.0</v>
      </c>
      <c r="S150" s="37">
        <v>0.0</v>
      </c>
      <c r="T150" s="37">
        <v>0.0</v>
      </c>
      <c r="U150" s="37">
        <v>2.0</v>
      </c>
      <c r="V150" s="37">
        <v>1.0</v>
      </c>
      <c r="W150" s="25" t="s">
        <v>550</v>
      </c>
    </row>
    <row r="151">
      <c r="A151" s="25" t="s">
        <v>730</v>
      </c>
      <c r="B151" s="25" t="s">
        <v>48</v>
      </c>
      <c r="C151" s="36" t="s">
        <v>2067</v>
      </c>
      <c r="D151" s="37">
        <v>2017.0</v>
      </c>
      <c r="E151" s="38" t="s">
        <v>731</v>
      </c>
      <c r="F151" s="38" t="s">
        <v>38</v>
      </c>
      <c r="G151" s="39" t="str">
        <f>VLOOKUP(A151,'Dataset '!A:I,9,0)</f>
        <v>51 - 100</v>
      </c>
      <c r="H151" s="37">
        <v>110.0</v>
      </c>
      <c r="I151" s="37">
        <v>8.0</v>
      </c>
      <c r="J151" s="38">
        <v>576000.0</v>
      </c>
      <c r="K151" s="38">
        <v>576000.0</v>
      </c>
      <c r="L151" s="40">
        <f>VLOOKUP($A151,'Dataset '!$A:$I,5,0)</f>
        <v>45708</v>
      </c>
      <c r="M151" s="25" t="s">
        <v>2068</v>
      </c>
      <c r="N151" s="38">
        <f t="shared" si="3"/>
        <v>5236.363636</v>
      </c>
      <c r="O151" s="38">
        <f t="shared" ref="O151:P151" si="153">J151/I151</f>
        <v>72000</v>
      </c>
      <c r="P151" s="41">
        <f t="shared" si="153"/>
        <v>1</v>
      </c>
      <c r="Q151" s="37">
        <v>22.0</v>
      </c>
      <c r="R151" s="37">
        <v>1.0</v>
      </c>
      <c r="S151" s="37">
        <v>1.0</v>
      </c>
      <c r="T151" s="37">
        <v>1.0</v>
      </c>
      <c r="U151" s="37">
        <v>2.0</v>
      </c>
      <c r="V151" s="37">
        <v>2.0</v>
      </c>
      <c r="W151" s="25" t="s">
        <v>569</v>
      </c>
    </row>
    <row r="152">
      <c r="A152" s="25" t="s">
        <v>1626</v>
      </c>
      <c r="B152" s="25" t="s">
        <v>48</v>
      </c>
      <c r="C152" s="36" t="s">
        <v>1628</v>
      </c>
      <c r="D152" s="37">
        <v>2020.0</v>
      </c>
      <c r="E152" s="38" t="s">
        <v>1627</v>
      </c>
      <c r="F152" s="38" t="s">
        <v>76</v>
      </c>
      <c r="G152" s="39" t="str">
        <f>VLOOKUP(A152,'Dataset '!A:I,9,0)</f>
        <v>51 - 100</v>
      </c>
      <c r="H152" s="37">
        <v>51.0</v>
      </c>
      <c r="I152" s="37">
        <v>5.0</v>
      </c>
      <c r="J152" s="38">
        <v>8399913.0</v>
      </c>
      <c r="K152" s="38">
        <v>5760000.0</v>
      </c>
      <c r="L152" s="40">
        <f>VLOOKUP($A152,'Dataset '!$A:$I,5,0)</f>
        <v>45713</v>
      </c>
      <c r="M152" s="25" t="s">
        <v>2069</v>
      </c>
      <c r="N152" s="38">
        <f t="shared" si="3"/>
        <v>112941.1765</v>
      </c>
      <c r="O152" s="38">
        <f t="shared" ref="O152:P152" si="154">J152/I152</f>
        <v>1679982.6</v>
      </c>
      <c r="P152" s="41">
        <f t="shared" si="154"/>
        <v>0.6857213878</v>
      </c>
      <c r="Q152" s="37">
        <v>12.0</v>
      </c>
      <c r="R152" s="37">
        <v>1.0</v>
      </c>
      <c r="S152" s="37">
        <v>1.0</v>
      </c>
      <c r="T152" s="37">
        <v>0.0</v>
      </c>
      <c r="U152" s="37">
        <v>1.0</v>
      </c>
      <c r="V152" s="37">
        <v>2.0</v>
      </c>
      <c r="W152" s="25" t="s">
        <v>595</v>
      </c>
    </row>
    <row r="153">
      <c r="A153" s="25" t="s">
        <v>1774</v>
      </c>
      <c r="B153" s="25" t="s">
        <v>48</v>
      </c>
      <c r="C153" s="36" t="s">
        <v>1776</v>
      </c>
      <c r="D153" s="37">
        <v>2016.0</v>
      </c>
      <c r="E153" s="38" t="s">
        <v>1775</v>
      </c>
      <c r="F153" s="38" t="s">
        <v>289</v>
      </c>
      <c r="G153" s="39" t="str">
        <f>VLOOKUP(A153,'Dataset '!A:I,9,0)</f>
        <v>51 - 100</v>
      </c>
      <c r="H153" s="37">
        <v>76.0</v>
      </c>
      <c r="I153" s="37">
        <v>9.0</v>
      </c>
      <c r="J153" s="38">
        <v>5.9726979E7</v>
      </c>
      <c r="K153" s="38">
        <v>9000000.0</v>
      </c>
      <c r="L153" s="40">
        <f>VLOOKUP($A153,'Dataset '!$A:$I,5,0)</f>
        <v>46043</v>
      </c>
      <c r="M153" s="25" t="s">
        <v>2070</v>
      </c>
      <c r="N153" s="38">
        <f t="shared" si="3"/>
        <v>118421.0526</v>
      </c>
      <c r="O153" s="38">
        <f t="shared" ref="O153:P153" si="155">J153/I153</f>
        <v>6636331</v>
      </c>
      <c r="P153" s="41">
        <f t="shared" si="155"/>
        <v>0.1506856726</v>
      </c>
      <c r="Q153" s="37">
        <v>25.0</v>
      </c>
      <c r="R153" s="37">
        <v>1.0</v>
      </c>
      <c r="S153" s="37">
        <v>0.0</v>
      </c>
      <c r="T153" s="37">
        <v>0.0</v>
      </c>
      <c r="U153" s="37">
        <v>0.0</v>
      </c>
      <c r="V153" s="37">
        <v>4.0</v>
      </c>
      <c r="W153" s="25" t="s">
        <v>558</v>
      </c>
    </row>
    <row r="154">
      <c r="A154" s="25" t="s">
        <v>311</v>
      </c>
      <c r="B154" s="25" t="s">
        <v>52</v>
      </c>
      <c r="C154" s="36" t="s">
        <v>2071</v>
      </c>
      <c r="D154" s="37">
        <v>2016.0</v>
      </c>
      <c r="E154" s="38" t="s">
        <v>314</v>
      </c>
      <c r="F154" s="38" t="s">
        <v>38</v>
      </c>
      <c r="G154" s="39" t="str">
        <f>VLOOKUP(A154,'Dataset '!A:I,9,0)</f>
        <v>101 - 250</v>
      </c>
      <c r="H154" s="37">
        <v>85.0</v>
      </c>
      <c r="I154" s="37">
        <v>9.0</v>
      </c>
      <c r="J154" s="38">
        <v>108000.0</v>
      </c>
      <c r="K154" s="38">
        <v>108000.0</v>
      </c>
      <c r="L154" s="40">
        <f>VLOOKUP($A154,'Dataset '!$A:$I,5,0)</f>
        <v>45027</v>
      </c>
      <c r="M154" s="38">
        <f t="shared" ref="M154:M167" si="157">J154/H154</f>
        <v>1270.588235</v>
      </c>
      <c r="N154" s="38">
        <f t="shared" si="3"/>
        <v>1270.588235</v>
      </c>
      <c r="O154" s="38">
        <f t="shared" ref="O154:P154" si="156">J154/I154</f>
        <v>12000</v>
      </c>
      <c r="P154" s="41">
        <f t="shared" si="156"/>
        <v>1</v>
      </c>
      <c r="Q154" s="37">
        <v>13.0</v>
      </c>
      <c r="R154" s="37">
        <v>0.0</v>
      </c>
      <c r="S154" s="37">
        <v>1.0</v>
      </c>
      <c r="T154" s="37">
        <v>0.0</v>
      </c>
      <c r="U154" s="37">
        <v>0.0</v>
      </c>
      <c r="V154" s="37">
        <v>1.0</v>
      </c>
      <c r="W154" s="25" t="s">
        <v>569</v>
      </c>
    </row>
    <row r="155">
      <c r="A155" s="25" t="s">
        <v>540</v>
      </c>
      <c r="B155" s="25" t="s">
        <v>48</v>
      </c>
      <c r="C155" s="36" t="s">
        <v>2072</v>
      </c>
      <c r="D155" s="37">
        <v>2012.0</v>
      </c>
      <c r="E155" s="38" t="s">
        <v>541</v>
      </c>
      <c r="F155" s="38" t="s">
        <v>391</v>
      </c>
      <c r="G155" s="39" t="str">
        <f>VLOOKUP(A155,'Dataset '!A:I,9,0)</f>
        <v>101 - 250</v>
      </c>
      <c r="H155" s="37">
        <v>200.0</v>
      </c>
      <c r="I155" s="37">
        <v>13.0</v>
      </c>
      <c r="J155" s="38">
        <v>2.97E7</v>
      </c>
      <c r="K155" s="38">
        <v>1.03E7</v>
      </c>
      <c r="L155" s="40">
        <f>VLOOKUP($A155,'Dataset '!$A:$I,5,0)</f>
        <v>43773</v>
      </c>
      <c r="M155" s="38">
        <f t="shared" si="157"/>
        <v>148500</v>
      </c>
      <c r="N155" s="38">
        <f t="shared" si="3"/>
        <v>51500</v>
      </c>
      <c r="O155" s="38">
        <f t="shared" ref="O155:P155" si="158">J155/I155</f>
        <v>2284615.385</v>
      </c>
      <c r="P155" s="41">
        <f t="shared" si="158"/>
        <v>0.3468013468</v>
      </c>
      <c r="Q155" s="37">
        <v>26.0</v>
      </c>
      <c r="R155" s="37">
        <v>1.0</v>
      </c>
      <c r="S155" s="37">
        <v>1.0</v>
      </c>
      <c r="T155" s="37">
        <v>3.0</v>
      </c>
      <c r="U155" s="37">
        <v>2.0</v>
      </c>
      <c r="V155" s="37">
        <v>2.0</v>
      </c>
      <c r="W155" s="25" t="s">
        <v>558</v>
      </c>
    </row>
    <row r="156">
      <c r="A156" s="25" t="s">
        <v>556</v>
      </c>
      <c r="B156" s="25" t="s">
        <v>48</v>
      </c>
      <c r="C156" s="36" t="s">
        <v>883</v>
      </c>
      <c r="D156" s="37">
        <v>2017.0</v>
      </c>
      <c r="E156" s="38" t="s">
        <v>557</v>
      </c>
      <c r="F156" s="38" t="s">
        <v>38</v>
      </c>
      <c r="G156" s="39" t="str">
        <f>VLOOKUP(A156,'Dataset '!A:I,9,0)</f>
        <v>101 - 250</v>
      </c>
      <c r="H156" s="25">
        <v>175.0</v>
      </c>
      <c r="I156" s="37">
        <v>8.0</v>
      </c>
      <c r="J156" s="38">
        <v>1.0E7</v>
      </c>
      <c r="K156" s="38">
        <v>1.0E7</v>
      </c>
      <c r="L156" s="40">
        <f>VLOOKUP($A156,'Dataset '!$A:$I,5,0)</f>
        <v>45483</v>
      </c>
      <c r="M156" s="38">
        <f t="shared" si="157"/>
        <v>57142.85714</v>
      </c>
      <c r="N156" s="38">
        <f t="shared" si="3"/>
        <v>57142.85714</v>
      </c>
      <c r="O156" s="38">
        <f t="shared" ref="O156:P156" si="159">J156/I156</f>
        <v>1250000</v>
      </c>
      <c r="P156" s="41">
        <f t="shared" si="159"/>
        <v>1</v>
      </c>
      <c r="Q156" s="37">
        <v>0.0</v>
      </c>
      <c r="R156" s="37">
        <v>0.0</v>
      </c>
      <c r="S156" s="37">
        <v>0.0</v>
      </c>
      <c r="T156" s="37">
        <v>0.0</v>
      </c>
      <c r="U156" s="37">
        <v>0.0</v>
      </c>
      <c r="V156" s="37">
        <v>0.0</v>
      </c>
      <c r="W156" s="25" t="s">
        <v>550</v>
      </c>
    </row>
    <row r="157">
      <c r="A157" s="25" t="s">
        <v>559</v>
      </c>
      <c r="B157" s="25" t="s">
        <v>48</v>
      </c>
      <c r="C157" s="36" t="s">
        <v>2073</v>
      </c>
      <c r="D157" s="37">
        <v>2016.0</v>
      </c>
      <c r="E157" s="38" t="s">
        <v>560</v>
      </c>
      <c r="F157" s="38" t="s">
        <v>289</v>
      </c>
      <c r="G157" s="39" t="str">
        <f>VLOOKUP(A157,'Dataset '!A:I,9,0)</f>
        <v>501 - 1000</v>
      </c>
      <c r="H157" s="37">
        <v>590.0</v>
      </c>
      <c r="I157" s="37">
        <v>9.0</v>
      </c>
      <c r="J157" s="38">
        <v>1.96E7</v>
      </c>
      <c r="K157" s="38">
        <v>1.21E7</v>
      </c>
      <c r="L157" s="40">
        <f>VLOOKUP($A157,'Dataset '!$A:$I,5,0)</f>
        <v>45485</v>
      </c>
      <c r="M157" s="38">
        <f t="shared" si="157"/>
        <v>33220.33898</v>
      </c>
      <c r="N157" s="38">
        <f t="shared" si="3"/>
        <v>20508.47458</v>
      </c>
      <c r="O157" s="38">
        <f t="shared" ref="O157:P157" si="160">J157/I157</f>
        <v>2177777.778</v>
      </c>
      <c r="P157" s="41">
        <f t="shared" si="160"/>
        <v>0.6173469388</v>
      </c>
      <c r="Q157" s="37">
        <v>27.0</v>
      </c>
      <c r="R157" s="37">
        <v>0.0</v>
      </c>
      <c r="S157" s="37">
        <v>0.0</v>
      </c>
      <c r="T157" s="37">
        <v>1.0</v>
      </c>
      <c r="U157" s="37">
        <v>0.0</v>
      </c>
      <c r="V157" s="37">
        <v>5.0</v>
      </c>
      <c r="W157" s="25" t="s">
        <v>558</v>
      </c>
    </row>
    <row r="158">
      <c r="A158" s="25" t="s">
        <v>570</v>
      </c>
      <c r="B158" s="25" t="s">
        <v>48</v>
      </c>
      <c r="C158" s="36" t="s">
        <v>909</v>
      </c>
      <c r="D158" s="37">
        <v>2018.0</v>
      </c>
      <c r="E158" s="38" t="s">
        <v>571</v>
      </c>
      <c r="F158" s="38" t="s">
        <v>76</v>
      </c>
      <c r="G158" s="39" t="str">
        <f>VLOOKUP(A158,'Dataset '!A:I,9,0)</f>
        <v>101 - 250</v>
      </c>
      <c r="H158" s="37">
        <v>180.0</v>
      </c>
      <c r="I158" s="37">
        <v>7.0</v>
      </c>
      <c r="J158" s="38">
        <v>1.5E7</v>
      </c>
      <c r="K158" s="38">
        <v>1.5E7</v>
      </c>
      <c r="L158" s="40">
        <f>VLOOKUP($A158,'Dataset '!$A:$I,5,0)</f>
        <v>44510</v>
      </c>
      <c r="M158" s="38">
        <f t="shared" si="157"/>
        <v>83333.33333</v>
      </c>
      <c r="N158" s="38">
        <f t="shared" si="3"/>
        <v>83333.33333</v>
      </c>
      <c r="O158" s="38">
        <f t="shared" ref="O158:P158" si="161">J158/I158</f>
        <v>2142857.143</v>
      </c>
      <c r="P158" s="41">
        <f t="shared" si="161"/>
        <v>1</v>
      </c>
      <c r="Q158" s="37">
        <v>16.0</v>
      </c>
      <c r="R158" s="37">
        <v>0.0</v>
      </c>
      <c r="S158" s="37">
        <v>1.0</v>
      </c>
      <c r="T158" s="37">
        <v>1.0</v>
      </c>
      <c r="U158" s="37">
        <v>1.0</v>
      </c>
      <c r="V158" s="37">
        <v>3.0</v>
      </c>
      <c r="W158" s="25" t="s">
        <v>569</v>
      </c>
    </row>
    <row r="159">
      <c r="A159" s="25" t="s">
        <v>573</v>
      </c>
      <c r="B159" s="25" t="s">
        <v>48</v>
      </c>
      <c r="C159" s="36" t="s">
        <v>917</v>
      </c>
      <c r="D159" s="37">
        <v>2016.0</v>
      </c>
      <c r="E159" s="38" t="s">
        <v>574</v>
      </c>
      <c r="F159" s="38" t="s">
        <v>76</v>
      </c>
      <c r="G159" s="39" t="str">
        <f>VLOOKUP(A159,'Dataset '!A:I,9,0)</f>
        <v>101 - 250</v>
      </c>
      <c r="H159" s="37">
        <v>150.0</v>
      </c>
      <c r="I159" s="37">
        <v>9.0</v>
      </c>
      <c r="J159" s="38">
        <v>2.0E7</v>
      </c>
      <c r="K159" s="38">
        <v>1.5E7</v>
      </c>
      <c r="L159" s="40">
        <f>VLOOKUP($A159,'Dataset '!$A:$I,5,0)</f>
        <v>44091</v>
      </c>
      <c r="M159" s="38">
        <f t="shared" si="157"/>
        <v>133333.3333</v>
      </c>
      <c r="N159" s="38">
        <f t="shared" si="3"/>
        <v>100000</v>
      </c>
      <c r="O159" s="38">
        <f t="shared" ref="O159:P159" si="162">J159/I159</f>
        <v>2222222.222</v>
      </c>
      <c r="P159" s="41">
        <f t="shared" si="162"/>
        <v>0.75</v>
      </c>
      <c r="Q159" s="37">
        <v>0.0</v>
      </c>
      <c r="R159" s="37">
        <v>0.0</v>
      </c>
      <c r="S159" s="37">
        <v>0.0</v>
      </c>
      <c r="T159" s="37">
        <v>0.0</v>
      </c>
      <c r="U159" s="37">
        <v>0.0</v>
      </c>
      <c r="V159" s="37">
        <v>0.0</v>
      </c>
      <c r="W159" s="25" t="s">
        <v>558</v>
      </c>
    </row>
    <row r="160">
      <c r="A160" s="25" t="s">
        <v>656</v>
      </c>
      <c r="B160" s="25" t="s">
        <v>48</v>
      </c>
      <c r="C160" s="36" t="s">
        <v>2074</v>
      </c>
      <c r="D160" s="37">
        <v>2021.0</v>
      </c>
      <c r="E160" s="38" t="s">
        <v>657</v>
      </c>
      <c r="F160" s="38" t="s">
        <v>59</v>
      </c>
      <c r="G160" s="39" t="str">
        <f>VLOOKUP(A160,'Dataset '!A:I,9,0)</f>
        <v>101 - 250</v>
      </c>
      <c r="H160" s="37">
        <v>150.0</v>
      </c>
      <c r="I160" s="37">
        <v>4.0</v>
      </c>
      <c r="J160" s="38">
        <v>1611770.0</v>
      </c>
      <c r="K160" s="38">
        <v>1000000.0</v>
      </c>
      <c r="L160" s="40">
        <f>VLOOKUP($A160,'Dataset '!$A:$I,5,0)</f>
        <v>45467</v>
      </c>
      <c r="M160" s="38">
        <f t="shared" si="157"/>
        <v>10745.13333</v>
      </c>
      <c r="N160" s="38">
        <f t="shared" si="3"/>
        <v>6666.666667</v>
      </c>
      <c r="O160" s="38">
        <f t="shared" ref="O160:P160" si="163">J160/I160</f>
        <v>402942.5</v>
      </c>
      <c r="P160" s="41">
        <f t="shared" si="163"/>
        <v>0.6204359183</v>
      </c>
      <c r="Q160" s="37">
        <v>25.0</v>
      </c>
      <c r="R160" s="37">
        <v>0.0</v>
      </c>
      <c r="S160" s="37">
        <v>0.0</v>
      </c>
      <c r="T160" s="37">
        <v>0.0</v>
      </c>
      <c r="U160" s="37">
        <v>2.0</v>
      </c>
      <c r="V160" s="37">
        <v>5.0</v>
      </c>
      <c r="W160" s="25" t="s">
        <v>569</v>
      </c>
    </row>
    <row r="161">
      <c r="A161" s="25" t="s">
        <v>785</v>
      </c>
      <c r="B161" s="25" t="s">
        <v>52</v>
      </c>
      <c r="C161" s="36" t="s">
        <v>1224</v>
      </c>
      <c r="D161" s="37">
        <v>2015.0</v>
      </c>
      <c r="E161" s="38" t="s">
        <v>786</v>
      </c>
      <c r="F161" s="38" t="s">
        <v>76</v>
      </c>
      <c r="G161" s="39" t="str">
        <f>VLOOKUP(A161,'Dataset '!A:I,9,0)</f>
        <v>101 - 250</v>
      </c>
      <c r="H161" s="37">
        <v>200.0</v>
      </c>
      <c r="I161" s="37">
        <v>10.0</v>
      </c>
      <c r="J161" s="38">
        <v>1.9935543E7</v>
      </c>
      <c r="K161" s="38">
        <v>1.2E7</v>
      </c>
      <c r="L161" s="40">
        <f>VLOOKUP($A161,'Dataset '!$A:$I,5,0)</f>
        <v>45916</v>
      </c>
      <c r="M161" s="38">
        <f t="shared" si="157"/>
        <v>99677.715</v>
      </c>
      <c r="N161" s="38">
        <f t="shared" si="3"/>
        <v>60000</v>
      </c>
      <c r="O161" s="38">
        <f t="shared" ref="O161:P161" si="164">J161/I161</f>
        <v>1993554.3</v>
      </c>
      <c r="P161" s="41">
        <f t="shared" si="164"/>
        <v>0.6019399622</v>
      </c>
      <c r="Q161" s="37">
        <v>36.0</v>
      </c>
      <c r="R161" s="37">
        <v>1.0</v>
      </c>
      <c r="S161" s="37">
        <v>0.0</v>
      </c>
      <c r="T161" s="37">
        <v>2.0</v>
      </c>
      <c r="U161" s="37">
        <v>2.0</v>
      </c>
      <c r="V161" s="37">
        <v>6.0</v>
      </c>
      <c r="W161" s="25" t="s">
        <v>558</v>
      </c>
    </row>
    <row r="162">
      <c r="A162" s="25" t="s">
        <v>1257</v>
      </c>
      <c r="B162" s="25" t="s">
        <v>52</v>
      </c>
      <c r="C162" s="36" t="s">
        <v>1260</v>
      </c>
      <c r="D162" s="37">
        <v>2025.0</v>
      </c>
      <c r="E162" s="38" t="s">
        <v>1258</v>
      </c>
      <c r="F162" s="38" t="s">
        <v>38</v>
      </c>
      <c r="G162" s="39" t="str">
        <f>VLOOKUP(A162,'Dataset '!A:I,9,0)</f>
        <v>101 - 250</v>
      </c>
      <c r="H162" s="37">
        <v>240.0</v>
      </c>
      <c r="I162" s="37">
        <v>0.0</v>
      </c>
      <c r="J162" s="38">
        <v>1.296E7</v>
      </c>
      <c r="K162" s="38">
        <v>1.188E7</v>
      </c>
      <c r="L162" s="40">
        <f>VLOOKUP($A162,'Dataset '!$A:$I,5,0)</f>
        <v>42987</v>
      </c>
      <c r="M162" s="38">
        <f t="shared" si="157"/>
        <v>54000</v>
      </c>
      <c r="N162" s="38">
        <f t="shared" si="3"/>
        <v>49500</v>
      </c>
      <c r="O162" s="25" t="str">
        <f t="shared" ref="O162:P162" si="165">J162/I162</f>
        <v>#DIV/0!</v>
      </c>
      <c r="P162" s="41">
        <f t="shared" si="165"/>
        <v>0.9166666667</v>
      </c>
      <c r="Q162" s="37">
        <v>39.0</v>
      </c>
      <c r="R162" s="37">
        <v>2.0</v>
      </c>
      <c r="S162" s="37">
        <v>0.0</v>
      </c>
      <c r="T162" s="37">
        <v>2.0</v>
      </c>
      <c r="U162" s="37">
        <v>2.0</v>
      </c>
      <c r="V162" s="37">
        <v>2.0</v>
      </c>
      <c r="W162" s="25" t="s">
        <v>558</v>
      </c>
    </row>
    <row r="163">
      <c r="A163" s="25" t="s">
        <v>860</v>
      </c>
      <c r="B163" s="25" t="s">
        <v>48</v>
      </c>
      <c r="C163" s="36" t="s">
        <v>2075</v>
      </c>
      <c r="D163" s="37">
        <v>2021.0</v>
      </c>
      <c r="E163" s="38" t="s">
        <v>861</v>
      </c>
      <c r="F163" s="38" t="s">
        <v>289</v>
      </c>
      <c r="G163" s="39" t="str">
        <f>VLOOKUP(A163,'Dataset '!A:I,9,0)</f>
        <v>101 - 250</v>
      </c>
      <c r="H163" s="25">
        <v>175.0</v>
      </c>
      <c r="I163" s="37">
        <v>4.0</v>
      </c>
      <c r="J163" s="38">
        <v>2.1370375E7</v>
      </c>
      <c r="K163" s="38">
        <v>2000000.0</v>
      </c>
      <c r="L163" s="40">
        <f>VLOOKUP($A163,'Dataset '!$A:$I,5,0)</f>
        <v>45625</v>
      </c>
      <c r="M163" s="38">
        <f t="shared" si="157"/>
        <v>122116.4286</v>
      </c>
      <c r="N163" s="38">
        <f t="shared" si="3"/>
        <v>11428.57143</v>
      </c>
      <c r="O163" s="38">
        <f t="shared" ref="O163:P163" si="166">J163/I163</f>
        <v>5342593.75</v>
      </c>
      <c r="P163" s="41">
        <f t="shared" si="166"/>
        <v>0.09358750139</v>
      </c>
      <c r="Q163" s="37">
        <v>7.0</v>
      </c>
      <c r="R163" s="37">
        <v>0.0</v>
      </c>
      <c r="S163" s="37">
        <v>0.0</v>
      </c>
      <c r="T163" s="37">
        <v>0.0</v>
      </c>
      <c r="U163" s="37">
        <v>0.0</v>
      </c>
      <c r="V163" s="37">
        <v>1.0</v>
      </c>
      <c r="W163" s="25" t="s">
        <v>595</v>
      </c>
    </row>
    <row r="164">
      <c r="A164" s="25" t="s">
        <v>875</v>
      </c>
      <c r="B164" s="25" t="s">
        <v>48</v>
      </c>
      <c r="C164" s="36" t="s">
        <v>2076</v>
      </c>
      <c r="D164" s="37">
        <v>2020.0</v>
      </c>
      <c r="E164" s="38" t="s">
        <v>541</v>
      </c>
      <c r="F164" s="38" t="s">
        <v>38</v>
      </c>
      <c r="G164" s="39" t="str">
        <f>VLOOKUP(A164,'Dataset '!A:I,9,0)</f>
        <v>101 - 250</v>
      </c>
      <c r="H164" s="37">
        <v>140.0</v>
      </c>
      <c r="I164" s="37">
        <v>5.0</v>
      </c>
      <c r="J164" s="38">
        <v>5.1118155E7</v>
      </c>
      <c r="K164" s="38">
        <v>2500000.0</v>
      </c>
      <c r="L164" s="40">
        <f>VLOOKUP($A164,'Dataset '!$A:$I,5,0)</f>
        <v>45953</v>
      </c>
      <c r="M164" s="38">
        <f t="shared" si="157"/>
        <v>365129.6786</v>
      </c>
      <c r="N164" s="38">
        <f t="shared" si="3"/>
        <v>17857.14286</v>
      </c>
      <c r="O164" s="38">
        <f t="shared" ref="O164:P164" si="167">J164/I164</f>
        <v>10223631</v>
      </c>
      <c r="P164" s="41">
        <f t="shared" si="167"/>
        <v>0.04890630345</v>
      </c>
      <c r="Q164" s="37">
        <v>44.0</v>
      </c>
      <c r="R164" s="37">
        <v>0.0</v>
      </c>
      <c r="S164" s="37">
        <v>2.0</v>
      </c>
      <c r="T164" s="37">
        <v>3.0</v>
      </c>
      <c r="U164" s="37">
        <v>0.0</v>
      </c>
      <c r="V164" s="37">
        <v>2.0</v>
      </c>
      <c r="W164" s="25" t="s">
        <v>569</v>
      </c>
    </row>
    <row r="165">
      <c r="A165" s="25" t="s">
        <v>925</v>
      </c>
      <c r="B165" s="25" t="s">
        <v>48</v>
      </c>
      <c r="C165" s="36" t="s">
        <v>1406</v>
      </c>
      <c r="D165" s="37">
        <v>2018.0</v>
      </c>
      <c r="E165" s="38" t="s">
        <v>926</v>
      </c>
      <c r="F165" s="38" t="s">
        <v>76</v>
      </c>
      <c r="G165" s="39" t="str">
        <f>VLOOKUP(A165,'Dataset '!A:I,9,0)</f>
        <v>101 - 250</v>
      </c>
      <c r="H165" s="37">
        <v>230.0</v>
      </c>
      <c r="I165" s="37">
        <v>7.0</v>
      </c>
      <c r="J165" s="38">
        <v>2.83E7</v>
      </c>
      <c r="K165" s="38">
        <v>2.5E7</v>
      </c>
      <c r="L165" s="40">
        <f>VLOOKUP($A165,'Dataset '!$A:$I,5,0)</f>
        <v>44497</v>
      </c>
      <c r="M165" s="38">
        <f t="shared" si="157"/>
        <v>123043.4783</v>
      </c>
      <c r="N165" s="38">
        <f t="shared" si="3"/>
        <v>108695.6522</v>
      </c>
      <c r="O165" s="38">
        <f t="shared" ref="O165:P165" si="168">J165/I165</f>
        <v>4042857.143</v>
      </c>
      <c r="P165" s="41">
        <f t="shared" si="168"/>
        <v>0.8833922261</v>
      </c>
      <c r="Q165" s="37">
        <v>29.0</v>
      </c>
      <c r="R165" s="37">
        <v>1.0</v>
      </c>
      <c r="S165" s="37">
        <v>1.0</v>
      </c>
      <c r="T165" s="37">
        <v>1.0</v>
      </c>
      <c r="U165" s="37">
        <v>2.0</v>
      </c>
      <c r="V165" s="37">
        <v>4.0</v>
      </c>
      <c r="W165" s="25" t="s">
        <v>558</v>
      </c>
    </row>
    <row r="166">
      <c r="A166" s="25" t="s">
        <v>935</v>
      </c>
      <c r="B166" s="25" t="s">
        <v>48</v>
      </c>
      <c r="C166" s="36" t="s">
        <v>2077</v>
      </c>
      <c r="D166" s="37">
        <v>2021.0</v>
      </c>
      <c r="E166" s="38" t="s">
        <v>936</v>
      </c>
      <c r="F166" s="38" t="s">
        <v>289</v>
      </c>
      <c r="G166" s="39" t="str">
        <f>VLOOKUP(A166,'Dataset '!A:I,9,0)</f>
        <v>101 - 250</v>
      </c>
      <c r="H166" s="37">
        <v>70.0</v>
      </c>
      <c r="I166" s="37">
        <v>4.0</v>
      </c>
      <c r="J166" s="38">
        <v>5.1049995E7</v>
      </c>
      <c r="K166" s="38">
        <v>2.65E7</v>
      </c>
      <c r="L166" s="40">
        <f>VLOOKUP($A166,'Dataset '!$A:$I,5,0)</f>
        <v>45852</v>
      </c>
      <c r="M166" s="38">
        <f t="shared" si="157"/>
        <v>729285.6429</v>
      </c>
      <c r="N166" s="38">
        <f t="shared" si="3"/>
        <v>378571.4286</v>
      </c>
      <c r="O166" s="38">
        <f t="shared" ref="O166:P166" si="169">J166/I166</f>
        <v>12762498.75</v>
      </c>
      <c r="P166" s="41">
        <f t="shared" si="169"/>
        <v>0.5190989735</v>
      </c>
      <c r="Q166" s="37">
        <v>40.0</v>
      </c>
      <c r="R166" s="37">
        <v>1.0</v>
      </c>
      <c r="S166" s="37">
        <v>1.0</v>
      </c>
      <c r="T166" s="37">
        <v>5.0</v>
      </c>
      <c r="U166" s="37">
        <v>3.0</v>
      </c>
      <c r="V166" s="37">
        <v>2.0</v>
      </c>
      <c r="W166" s="25" t="s">
        <v>595</v>
      </c>
    </row>
    <row r="167">
      <c r="A167" s="25" t="s">
        <v>942</v>
      </c>
      <c r="B167" s="25" t="s">
        <v>48</v>
      </c>
      <c r="C167" s="36" t="s">
        <v>2078</v>
      </c>
      <c r="D167" s="37">
        <v>2021.0</v>
      </c>
      <c r="E167" s="38" t="s">
        <v>943</v>
      </c>
      <c r="F167" s="38" t="s">
        <v>76</v>
      </c>
      <c r="G167" s="39" t="str">
        <f>VLOOKUP(A167,'Dataset '!A:I,9,0)</f>
        <v>101 - 250</v>
      </c>
      <c r="H167" s="37">
        <v>130.0</v>
      </c>
      <c r="I167" s="37">
        <v>4.0</v>
      </c>
      <c r="J167" s="38">
        <v>2.67E7</v>
      </c>
      <c r="K167" s="38">
        <v>2.67E7</v>
      </c>
      <c r="L167" s="40">
        <f>VLOOKUP($A167,'Dataset '!$A:$I,5,0)</f>
        <v>45714</v>
      </c>
      <c r="M167" s="38">
        <f t="shared" si="157"/>
        <v>205384.6154</v>
      </c>
      <c r="N167" s="38">
        <f t="shared" si="3"/>
        <v>205384.6154</v>
      </c>
      <c r="O167" s="38">
        <f t="shared" ref="O167:P167" si="170">J167/I167</f>
        <v>6675000</v>
      </c>
      <c r="P167" s="41">
        <f t="shared" si="170"/>
        <v>1</v>
      </c>
      <c r="Q167" s="37">
        <v>13.0</v>
      </c>
      <c r="R167" s="37">
        <v>0.0</v>
      </c>
      <c r="S167" s="37">
        <v>0.0</v>
      </c>
      <c r="T167" s="37">
        <v>0.0</v>
      </c>
      <c r="U167" s="37">
        <v>0.0</v>
      </c>
      <c r="V167" s="37">
        <v>3.0</v>
      </c>
      <c r="W167" s="25" t="s">
        <v>558</v>
      </c>
    </row>
    <row r="168">
      <c r="A168" s="25" t="s">
        <v>992</v>
      </c>
      <c r="B168" s="25" t="s">
        <v>48</v>
      </c>
      <c r="C168" s="36" t="s">
        <v>2079</v>
      </c>
      <c r="D168" s="37">
        <v>2022.0</v>
      </c>
      <c r="E168" s="38" t="s">
        <v>994</v>
      </c>
      <c r="F168" s="38" t="s">
        <v>289</v>
      </c>
      <c r="G168" s="39" t="str">
        <f>VLOOKUP(A168,'Dataset '!A:I,9,0)</f>
        <v>101 - 250</v>
      </c>
      <c r="H168" s="37">
        <v>230.0</v>
      </c>
      <c r="I168" s="37">
        <v>3.0</v>
      </c>
      <c r="J168" s="38">
        <v>6.3748062E7</v>
      </c>
      <c r="K168" s="38">
        <v>3.0E7</v>
      </c>
      <c r="L168" s="40">
        <f>VLOOKUP($A168,'Dataset '!$A:$I,5,0)</f>
        <v>45931</v>
      </c>
      <c r="M168" s="25" t="s">
        <v>2080</v>
      </c>
      <c r="N168" s="38">
        <f t="shared" si="3"/>
        <v>130434.7826</v>
      </c>
      <c r="O168" s="38">
        <f t="shared" ref="O168:P168" si="171">J168/I168</f>
        <v>21249354</v>
      </c>
      <c r="P168" s="41">
        <f t="shared" si="171"/>
        <v>0.4706025416</v>
      </c>
      <c r="Q168" s="37">
        <v>44.0</v>
      </c>
      <c r="R168" s="37">
        <v>0.0</v>
      </c>
      <c r="S168" s="37">
        <v>3.0</v>
      </c>
      <c r="T168" s="37">
        <v>5.0</v>
      </c>
      <c r="U168" s="37">
        <v>1.0</v>
      </c>
      <c r="V168" s="37">
        <v>2.0</v>
      </c>
      <c r="W168" s="25" t="s">
        <v>558</v>
      </c>
    </row>
    <row r="169">
      <c r="A169" s="25" t="s">
        <v>1038</v>
      </c>
      <c r="B169" s="25" t="s">
        <v>48</v>
      </c>
      <c r="C169" s="36" t="s">
        <v>1490</v>
      </c>
      <c r="D169" s="37">
        <v>2023.0</v>
      </c>
      <c r="E169" s="38" t="s">
        <v>1039</v>
      </c>
      <c r="F169" s="38" t="s">
        <v>76</v>
      </c>
      <c r="G169" s="39" t="str">
        <f>VLOOKUP(A169,'Dataset '!A:I,9,0)</f>
        <v>101 - 250</v>
      </c>
      <c r="H169" s="37">
        <v>130.0</v>
      </c>
      <c r="I169" s="37">
        <v>2.0</v>
      </c>
      <c r="J169" s="38">
        <v>4.05E7</v>
      </c>
      <c r="K169" s="38">
        <v>3.5E7</v>
      </c>
      <c r="L169" s="40">
        <f>VLOOKUP($A169,'Dataset '!$A:$I,5,0)</f>
        <v>45923</v>
      </c>
      <c r="M169" s="25" t="s">
        <v>2081</v>
      </c>
      <c r="N169" s="38">
        <f t="shared" si="3"/>
        <v>269230.7692</v>
      </c>
      <c r="O169" s="38">
        <f t="shared" ref="O169:P169" si="172">J169/I169</f>
        <v>20250000</v>
      </c>
      <c r="P169" s="41">
        <f t="shared" si="172"/>
        <v>0.8641975309</v>
      </c>
      <c r="Q169" s="37">
        <v>12.0</v>
      </c>
      <c r="R169" s="37">
        <v>0.0</v>
      </c>
      <c r="S169" s="37">
        <v>1.0</v>
      </c>
      <c r="T169" s="37">
        <v>0.0</v>
      </c>
      <c r="U169" s="37">
        <v>1.0</v>
      </c>
      <c r="V169" s="37">
        <v>0.0</v>
      </c>
      <c r="W169" s="25" t="s">
        <v>558</v>
      </c>
    </row>
    <row r="170">
      <c r="A170" s="25" t="s">
        <v>1127</v>
      </c>
      <c r="B170" s="25" t="s">
        <v>48</v>
      </c>
      <c r="C170" s="36" t="s">
        <v>1594</v>
      </c>
      <c r="D170" s="37">
        <v>2021.0</v>
      </c>
      <c r="E170" s="38" t="s">
        <v>1128</v>
      </c>
      <c r="F170" s="38" t="s">
        <v>289</v>
      </c>
      <c r="G170" s="39" t="str">
        <f>VLOOKUP(A170,'Dataset '!A:I,9,0)</f>
        <v>101 - 250</v>
      </c>
      <c r="H170" s="37">
        <v>98.0</v>
      </c>
      <c r="I170" s="37">
        <v>4.0</v>
      </c>
      <c r="J170" s="38">
        <v>8.0358865E7</v>
      </c>
      <c r="K170" s="38">
        <v>5.5E7</v>
      </c>
      <c r="L170" s="40">
        <f>VLOOKUP($A170,'Dataset '!$A:$I,5,0)</f>
        <v>44678</v>
      </c>
      <c r="M170" s="25" t="s">
        <v>2082</v>
      </c>
      <c r="N170" s="38">
        <f t="shared" si="3"/>
        <v>561224.4898</v>
      </c>
      <c r="O170" s="38">
        <f t="shared" ref="O170:P170" si="173">J170/I170</f>
        <v>20089716.25</v>
      </c>
      <c r="P170" s="41">
        <f t="shared" si="173"/>
        <v>0.6844297764</v>
      </c>
      <c r="Q170" s="37">
        <v>6.0</v>
      </c>
      <c r="R170" s="37">
        <v>0.0</v>
      </c>
      <c r="S170" s="37">
        <v>0.0</v>
      </c>
      <c r="T170" s="37">
        <v>0.0</v>
      </c>
      <c r="U170" s="37">
        <v>0.0</v>
      </c>
      <c r="V170" s="37">
        <v>0.0</v>
      </c>
      <c r="W170" s="25" t="s">
        <v>569</v>
      </c>
    </row>
    <row r="171">
      <c r="A171" s="25" t="s">
        <v>1328</v>
      </c>
      <c r="B171" s="25" t="s">
        <v>52</v>
      </c>
      <c r="C171" s="36" t="s">
        <v>1824</v>
      </c>
      <c r="D171" s="37">
        <v>2012.0</v>
      </c>
      <c r="E171" s="38" t="s">
        <v>1329</v>
      </c>
      <c r="F171" s="38" t="s">
        <v>289</v>
      </c>
      <c r="G171" s="39" t="str">
        <f>VLOOKUP(A171,'Dataset '!A:I,9,0)</f>
        <v>101 - 250</v>
      </c>
      <c r="H171" s="37">
        <v>120.0</v>
      </c>
      <c r="I171" s="37">
        <v>13.0</v>
      </c>
      <c r="J171" s="38">
        <v>1.7442E7</v>
      </c>
      <c r="K171" s="38">
        <v>1.134E7</v>
      </c>
      <c r="L171" s="40">
        <f>VLOOKUP($A171,'Dataset '!$A:$I,5,0)</f>
        <v>45478</v>
      </c>
      <c r="M171" s="25" t="s">
        <v>2083</v>
      </c>
      <c r="N171" s="38">
        <f t="shared" si="3"/>
        <v>94500</v>
      </c>
      <c r="O171" s="38">
        <f t="shared" ref="O171:P171" si="174">J171/I171</f>
        <v>1341692.308</v>
      </c>
      <c r="P171" s="41">
        <f t="shared" si="174"/>
        <v>0.6501547988</v>
      </c>
      <c r="Q171" s="37">
        <v>17.0</v>
      </c>
      <c r="R171" s="37">
        <v>0.0</v>
      </c>
      <c r="S171" s="37">
        <v>0.0</v>
      </c>
      <c r="T171" s="37">
        <v>2.0</v>
      </c>
      <c r="U171" s="37">
        <v>1.0</v>
      </c>
      <c r="V171" s="37">
        <v>1.0</v>
      </c>
      <c r="W171" s="25" t="s">
        <v>569</v>
      </c>
    </row>
    <row r="172">
      <c r="A172" s="25" t="s">
        <v>1370</v>
      </c>
      <c r="B172" s="25" t="s">
        <v>52</v>
      </c>
      <c r="C172" s="36" t="s">
        <v>1862</v>
      </c>
      <c r="D172" s="37">
        <v>2015.0</v>
      </c>
      <c r="E172" s="38" t="s">
        <v>1371</v>
      </c>
      <c r="F172" s="38" t="s">
        <v>289</v>
      </c>
      <c r="G172" s="39" t="str">
        <f>VLOOKUP(A172,'Dataset '!A:I,9,0)</f>
        <v>101 - 250</v>
      </c>
      <c r="H172" s="37">
        <v>250.0</v>
      </c>
      <c r="I172" s="37">
        <v>10.0</v>
      </c>
      <c r="J172" s="38">
        <v>3.9410667E7</v>
      </c>
      <c r="K172" s="38">
        <v>1.944E7</v>
      </c>
      <c r="L172" s="40">
        <f>VLOOKUP($A172,'Dataset '!$A:$I,5,0)</f>
        <v>45594</v>
      </c>
      <c r="M172" s="25" t="s">
        <v>2084</v>
      </c>
      <c r="N172" s="38">
        <f t="shared" si="3"/>
        <v>77760</v>
      </c>
      <c r="O172" s="38">
        <f t="shared" ref="O172:P172" si="175">J172/I172</f>
        <v>3941066.7</v>
      </c>
      <c r="P172" s="41">
        <f t="shared" si="175"/>
        <v>0.4932674699</v>
      </c>
      <c r="Q172" s="37">
        <v>38.0</v>
      </c>
      <c r="R172" s="37">
        <v>0.0</v>
      </c>
      <c r="S172" s="37">
        <v>0.0</v>
      </c>
      <c r="T172" s="37">
        <v>3.0</v>
      </c>
      <c r="U172" s="37">
        <v>2.0</v>
      </c>
      <c r="V172" s="37">
        <v>6.0</v>
      </c>
      <c r="W172" s="25" t="s">
        <v>558</v>
      </c>
    </row>
    <row r="173">
      <c r="A173" s="25" t="s">
        <v>1477</v>
      </c>
      <c r="B173" s="25" t="s">
        <v>52</v>
      </c>
      <c r="C173" s="36" t="s">
        <v>1547</v>
      </c>
      <c r="D173" s="37">
        <v>2017.0</v>
      </c>
      <c r="E173" s="38" t="s">
        <v>1478</v>
      </c>
      <c r="F173" s="38" t="s">
        <v>76</v>
      </c>
      <c r="G173" s="39" t="str">
        <f>VLOOKUP(A173,'Dataset '!A:I,9,0)</f>
        <v>101 - 250</v>
      </c>
      <c r="H173" s="37">
        <v>66.0</v>
      </c>
      <c r="I173" s="37">
        <v>8.0</v>
      </c>
      <c r="J173" s="38">
        <v>6480000.0</v>
      </c>
      <c r="K173" s="38">
        <v>5400000.0</v>
      </c>
      <c r="L173" s="40">
        <f>VLOOKUP($A173,'Dataset '!$A:$I,5,0)</f>
        <v>45740</v>
      </c>
      <c r="M173" s="25" t="s">
        <v>2085</v>
      </c>
      <c r="N173" s="38">
        <f t="shared" si="3"/>
        <v>81818.18182</v>
      </c>
      <c r="O173" s="38">
        <f t="shared" ref="O173:P173" si="176">J173/I173</f>
        <v>810000</v>
      </c>
      <c r="P173" s="41">
        <f t="shared" si="176"/>
        <v>0.8333333333</v>
      </c>
      <c r="Q173" s="37">
        <v>39.0</v>
      </c>
      <c r="R173" s="37">
        <v>2.0</v>
      </c>
      <c r="S173" s="37">
        <v>1.0</v>
      </c>
      <c r="T173" s="37">
        <v>4.0</v>
      </c>
      <c r="U173" s="37">
        <v>2.0</v>
      </c>
      <c r="V173" s="37">
        <v>2.0</v>
      </c>
      <c r="W173" s="25" t="s">
        <v>558</v>
      </c>
    </row>
    <row r="174">
      <c r="A174" s="25" t="s">
        <v>1595</v>
      </c>
      <c r="B174" s="25" t="s">
        <v>48</v>
      </c>
      <c r="C174" s="36" t="s">
        <v>2086</v>
      </c>
      <c r="D174" s="37">
        <v>2015.0</v>
      </c>
      <c r="E174" s="38" t="s">
        <v>1596</v>
      </c>
      <c r="F174" s="38" t="s">
        <v>38</v>
      </c>
      <c r="G174" s="39" t="str">
        <f>VLOOKUP(A174,'Dataset '!A:I,9,0)</f>
        <v>11 - 50</v>
      </c>
      <c r="H174" s="37">
        <v>36.0</v>
      </c>
      <c r="I174" s="37">
        <v>10.0</v>
      </c>
      <c r="J174" s="38">
        <v>2.52E8</v>
      </c>
      <c r="K174" s="38">
        <v>2.52E8</v>
      </c>
      <c r="L174" s="40">
        <f>VLOOKUP($A174,'Dataset '!$A:$I,5,0)</f>
        <v>44517</v>
      </c>
      <c r="M174" s="25" t="s">
        <v>2087</v>
      </c>
      <c r="N174" s="38">
        <f t="shared" si="3"/>
        <v>7000000</v>
      </c>
      <c r="O174" s="38">
        <f t="shared" ref="O174:P174" si="177">J174/I174</f>
        <v>25200000</v>
      </c>
      <c r="P174" s="41">
        <f t="shared" si="177"/>
        <v>1</v>
      </c>
      <c r="Q174" s="37">
        <v>5.0</v>
      </c>
      <c r="R174" s="37">
        <v>0.0</v>
      </c>
      <c r="S174" s="37">
        <v>1.0</v>
      </c>
      <c r="T174" s="37">
        <v>1.0</v>
      </c>
      <c r="U174" s="37">
        <v>0.0</v>
      </c>
      <c r="V174" s="37">
        <v>0.0</v>
      </c>
      <c r="W174" s="25" t="s">
        <v>569</v>
      </c>
    </row>
    <row r="175">
      <c r="A175" s="25" t="s">
        <v>1407</v>
      </c>
      <c r="B175" s="25" t="s">
        <v>48</v>
      </c>
      <c r="C175" s="36" t="s">
        <v>1409</v>
      </c>
      <c r="D175" s="37">
        <v>2019.0</v>
      </c>
      <c r="E175" s="38" t="s">
        <v>1408</v>
      </c>
      <c r="F175" s="38" t="s">
        <v>38</v>
      </c>
      <c r="G175" s="39" t="str">
        <f>VLOOKUP(A175,'Dataset '!A:I,9,0)</f>
        <v>101 - 250</v>
      </c>
      <c r="H175" s="37">
        <v>120.0</v>
      </c>
      <c r="I175" s="37">
        <v>6.0</v>
      </c>
      <c r="J175" s="38">
        <v>8100000.0</v>
      </c>
      <c r="K175" s="38">
        <v>3240000.0</v>
      </c>
      <c r="L175" s="40">
        <f>VLOOKUP($A175,'Dataset '!$A:$I,5,0)</f>
        <v>45985</v>
      </c>
      <c r="M175" s="25" t="s">
        <v>2088</v>
      </c>
      <c r="N175" s="38">
        <f t="shared" si="3"/>
        <v>27000</v>
      </c>
      <c r="O175" s="38">
        <f t="shared" ref="O175:P175" si="178">J175/I175</f>
        <v>1350000</v>
      </c>
      <c r="P175" s="41">
        <f t="shared" si="178"/>
        <v>0.4</v>
      </c>
      <c r="Q175" s="37">
        <v>25.0</v>
      </c>
      <c r="R175" s="37">
        <v>0.0</v>
      </c>
      <c r="S175" s="37">
        <v>1.0</v>
      </c>
      <c r="T175" s="37">
        <v>3.0</v>
      </c>
      <c r="U175" s="37">
        <v>0.0</v>
      </c>
      <c r="V175" s="37">
        <v>3.0</v>
      </c>
      <c r="W175" s="25" t="s">
        <v>558</v>
      </c>
    </row>
    <row r="176">
      <c r="A176" s="25" t="s">
        <v>1655</v>
      </c>
      <c r="B176" s="25" t="s">
        <v>48</v>
      </c>
      <c r="C176" s="36" t="s">
        <v>1764</v>
      </c>
      <c r="D176" s="37">
        <v>2016.0</v>
      </c>
      <c r="E176" s="38" t="s">
        <v>1656</v>
      </c>
      <c r="F176" s="38" t="s">
        <v>59</v>
      </c>
      <c r="G176" s="39" t="str">
        <f>VLOOKUP(A176,'Dataset '!A:I,9,0)</f>
        <v>101 - 250</v>
      </c>
      <c r="H176" s="37">
        <v>94.0</v>
      </c>
      <c r="I176" s="37">
        <v>9.0</v>
      </c>
      <c r="J176" s="38">
        <v>1.26E7</v>
      </c>
      <c r="K176" s="38">
        <v>9000000.0</v>
      </c>
      <c r="L176" s="40">
        <f>VLOOKUP($A176,'Dataset '!$A:$I,5,0)</f>
        <v>45810</v>
      </c>
      <c r="M176" s="25" t="s">
        <v>1980</v>
      </c>
      <c r="N176" s="38">
        <f t="shared" si="3"/>
        <v>95744.68085</v>
      </c>
      <c r="O176" s="38">
        <f t="shared" ref="O176:P176" si="179">J176/I176</f>
        <v>1400000</v>
      </c>
      <c r="P176" s="41">
        <f t="shared" si="179"/>
        <v>0.7142857143</v>
      </c>
      <c r="Q176" s="37">
        <v>27.0</v>
      </c>
      <c r="R176" s="37">
        <v>0.0</v>
      </c>
      <c r="S176" s="37">
        <v>0.0</v>
      </c>
      <c r="T176" s="37">
        <v>0.0</v>
      </c>
      <c r="U176" s="37">
        <v>2.0</v>
      </c>
      <c r="V176" s="37">
        <v>5.0</v>
      </c>
      <c r="W176" s="25" t="s">
        <v>569</v>
      </c>
    </row>
    <row r="177">
      <c r="A177" s="25" t="s">
        <v>1710</v>
      </c>
      <c r="B177" s="25" t="s">
        <v>48</v>
      </c>
      <c r="C177" s="36" t="s">
        <v>1926</v>
      </c>
      <c r="D177" s="37">
        <v>2021.0</v>
      </c>
      <c r="E177" s="38" t="s">
        <v>1712</v>
      </c>
      <c r="F177" s="38" t="s">
        <v>289</v>
      </c>
      <c r="G177" s="39" t="str">
        <f>VLOOKUP(A177,'Dataset '!A:I,9,0)</f>
        <v>101 - 250</v>
      </c>
      <c r="H177" s="37">
        <v>100.0</v>
      </c>
      <c r="I177" s="37">
        <v>4.0</v>
      </c>
      <c r="J177" s="38">
        <v>2.898E7</v>
      </c>
      <c r="K177" s="38">
        <v>1.836E7</v>
      </c>
      <c r="L177" s="40">
        <f>VLOOKUP($A177,'Dataset '!$A:$I,5,0)</f>
        <v>45953</v>
      </c>
      <c r="M177" s="25" t="s">
        <v>1993</v>
      </c>
      <c r="N177" s="38">
        <f t="shared" si="3"/>
        <v>183600</v>
      </c>
      <c r="O177" s="38">
        <f t="shared" ref="O177:P177" si="180">J177/I177</f>
        <v>7245000</v>
      </c>
      <c r="P177" s="41">
        <f t="shared" si="180"/>
        <v>0.6335403727</v>
      </c>
      <c r="Q177" s="37">
        <v>40.0</v>
      </c>
      <c r="R177" s="37">
        <v>1.0</v>
      </c>
      <c r="S177" s="37">
        <v>9.0</v>
      </c>
      <c r="T177" s="37">
        <v>4.0</v>
      </c>
      <c r="U177" s="37">
        <v>0.0</v>
      </c>
      <c r="V177" s="37">
        <v>3.0</v>
      </c>
      <c r="W177" s="25" t="s">
        <v>569</v>
      </c>
    </row>
    <row r="178">
      <c r="A178" s="25" t="s">
        <v>1716</v>
      </c>
      <c r="B178" s="25" t="s">
        <v>48</v>
      </c>
      <c r="C178" s="36" t="s">
        <v>1927</v>
      </c>
      <c r="D178" s="37">
        <v>2022.0</v>
      </c>
      <c r="E178" s="38" t="s">
        <v>1227</v>
      </c>
      <c r="F178" s="38" t="s">
        <v>76</v>
      </c>
      <c r="G178" s="39" t="str">
        <f>VLOOKUP(A178,'Dataset '!A:I,9,0)</f>
        <v>101 - 250</v>
      </c>
      <c r="H178" s="37">
        <v>110.0</v>
      </c>
      <c r="I178" s="37">
        <v>3.0</v>
      </c>
      <c r="J178" s="38">
        <v>2.4457449E7</v>
      </c>
      <c r="K178" s="38">
        <v>1.908E7</v>
      </c>
      <c r="L178" s="40">
        <f>VLOOKUP($A178,'Dataset '!$A:$I,5,0)</f>
        <v>45917</v>
      </c>
      <c r="M178" s="25" t="s">
        <v>2089</v>
      </c>
      <c r="N178" s="38">
        <f t="shared" si="3"/>
        <v>173454.5455</v>
      </c>
      <c r="O178" s="38">
        <f t="shared" ref="O178:P178" si="181">J178/I178</f>
        <v>8152483</v>
      </c>
      <c r="P178" s="41">
        <f t="shared" si="181"/>
        <v>0.7801304216</v>
      </c>
      <c r="Q178" s="37">
        <v>22.0</v>
      </c>
      <c r="R178" s="37">
        <v>0.0</v>
      </c>
      <c r="S178" s="37">
        <v>3.0</v>
      </c>
      <c r="T178" s="37">
        <v>0.0</v>
      </c>
      <c r="U178" s="37">
        <v>2.0</v>
      </c>
      <c r="V178" s="37">
        <v>2.0</v>
      </c>
      <c r="W178" s="25" t="s">
        <v>558</v>
      </c>
    </row>
    <row r="179">
      <c r="A179" s="25" t="s">
        <v>1720</v>
      </c>
      <c r="B179" s="25" t="s">
        <v>48</v>
      </c>
      <c r="C179" s="36" t="s">
        <v>2090</v>
      </c>
      <c r="D179" s="37">
        <v>2020.0</v>
      </c>
      <c r="E179" s="38" t="s">
        <v>1721</v>
      </c>
      <c r="F179" s="38" t="s">
        <v>76</v>
      </c>
      <c r="G179" s="39" t="str">
        <f>VLOOKUP(A179,'Dataset '!A:I,9,0)</f>
        <v>101 - 250</v>
      </c>
      <c r="H179" s="37">
        <v>160.0</v>
      </c>
      <c r="I179" s="37">
        <v>5.0</v>
      </c>
      <c r="J179" s="38">
        <v>2.934E7</v>
      </c>
      <c r="K179" s="38">
        <v>1.98E7</v>
      </c>
      <c r="L179" s="40">
        <f>VLOOKUP($A179,'Dataset '!$A:$I,5,0)</f>
        <v>45629</v>
      </c>
      <c r="M179" s="25" t="s">
        <v>2091</v>
      </c>
      <c r="N179" s="38">
        <f t="shared" si="3"/>
        <v>123750</v>
      </c>
      <c r="O179" s="38">
        <f t="shared" ref="O179:P179" si="182">J179/I179</f>
        <v>5868000</v>
      </c>
      <c r="P179" s="41">
        <f t="shared" si="182"/>
        <v>0.6748466258</v>
      </c>
      <c r="Q179" s="37">
        <v>28.0</v>
      </c>
      <c r="R179" s="37">
        <v>0.0</v>
      </c>
      <c r="S179" s="37">
        <v>1.0</v>
      </c>
      <c r="T179" s="37">
        <v>1.0</v>
      </c>
      <c r="U179" s="37">
        <v>3.0</v>
      </c>
      <c r="V179" s="37">
        <v>4.0</v>
      </c>
      <c r="W179" s="25" t="s">
        <v>558</v>
      </c>
    </row>
    <row r="180">
      <c r="A180" s="25" t="s">
        <v>1236</v>
      </c>
      <c r="B180" s="25" t="s">
        <v>48</v>
      </c>
      <c r="C180" s="36" t="s">
        <v>1240</v>
      </c>
      <c r="D180" s="37">
        <v>2016.0</v>
      </c>
      <c r="E180" s="38" t="s">
        <v>1237</v>
      </c>
      <c r="F180" s="38" t="s">
        <v>59</v>
      </c>
      <c r="G180" s="39" t="str">
        <f>VLOOKUP(A180,'Dataset '!A:I,9,0)</f>
        <v>101 - 250</v>
      </c>
      <c r="H180" s="37">
        <v>150.0</v>
      </c>
      <c r="I180" s="37">
        <v>9.0</v>
      </c>
      <c r="J180" s="38">
        <v>2772000.0</v>
      </c>
      <c r="K180" s="38">
        <v>2340000.0</v>
      </c>
      <c r="L180" s="40">
        <f>VLOOKUP($A180,'Dataset '!$A:$I,5,0)</f>
        <v>44456</v>
      </c>
      <c r="M180" s="25" t="s">
        <v>2092</v>
      </c>
      <c r="N180" s="38">
        <f t="shared" si="3"/>
        <v>15600</v>
      </c>
      <c r="O180" s="38">
        <f t="shared" ref="O180:P180" si="183">J180/I180</f>
        <v>308000</v>
      </c>
      <c r="P180" s="41">
        <f t="shared" si="183"/>
        <v>0.8441558442</v>
      </c>
      <c r="Q180" s="37">
        <v>62.0</v>
      </c>
      <c r="R180" s="37">
        <v>0.0</v>
      </c>
      <c r="S180" s="37">
        <v>3.0</v>
      </c>
      <c r="T180" s="37">
        <v>4.0</v>
      </c>
      <c r="U180" s="37">
        <v>2.0</v>
      </c>
      <c r="V180" s="37">
        <v>6.0</v>
      </c>
      <c r="W180" s="25" t="s">
        <v>569</v>
      </c>
    </row>
    <row r="181">
      <c r="A181" s="25" t="s">
        <v>1746</v>
      </c>
      <c r="B181" s="25" t="s">
        <v>48</v>
      </c>
      <c r="C181" s="36" t="s">
        <v>1951</v>
      </c>
      <c r="D181" s="37">
        <v>2021.0</v>
      </c>
      <c r="E181" s="38" t="s">
        <v>1747</v>
      </c>
      <c r="F181" s="38" t="s">
        <v>76</v>
      </c>
      <c r="G181" s="39" t="str">
        <f>VLOOKUP(A181,'Dataset '!A:I,9,0)</f>
        <v>101 - 250</v>
      </c>
      <c r="H181" s="37">
        <v>170.0</v>
      </c>
      <c r="I181" s="37">
        <v>4.0</v>
      </c>
      <c r="J181" s="38">
        <v>5.409E7</v>
      </c>
      <c r="K181" s="38">
        <v>2.88E7</v>
      </c>
      <c r="L181" s="40">
        <f>VLOOKUP($A181,'Dataset '!$A:$I,5,0)</f>
        <v>45939</v>
      </c>
      <c r="M181" s="25" t="s">
        <v>2093</v>
      </c>
      <c r="N181" s="38">
        <f t="shared" si="3"/>
        <v>169411.7647</v>
      </c>
      <c r="O181" s="38">
        <f t="shared" ref="O181:P181" si="184">J181/I181</f>
        <v>13522500</v>
      </c>
      <c r="P181" s="41">
        <f t="shared" si="184"/>
        <v>0.5324459235</v>
      </c>
      <c r="Q181" s="37">
        <v>50.0</v>
      </c>
      <c r="R181" s="37">
        <v>1.0</v>
      </c>
      <c r="S181" s="37">
        <v>2.0</v>
      </c>
      <c r="T181" s="37">
        <v>5.0</v>
      </c>
      <c r="U181" s="37">
        <v>1.0</v>
      </c>
      <c r="V181" s="37">
        <v>3.0</v>
      </c>
      <c r="W181" s="25" t="s">
        <v>569</v>
      </c>
    </row>
    <row r="182">
      <c r="A182" s="25" t="s">
        <v>1763</v>
      </c>
      <c r="B182" s="25" t="s">
        <v>48</v>
      </c>
      <c r="C182" s="36" t="s">
        <v>1959</v>
      </c>
      <c r="D182" s="37">
        <v>2023.0</v>
      </c>
      <c r="E182" s="38" t="s">
        <v>1765</v>
      </c>
      <c r="F182" s="38" t="s">
        <v>752</v>
      </c>
      <c r="G182" s="39" t="str">
        <f>VLOOKUP(A182,'Dataset '!A:I,9,0)</f>
        <v>101 - 250</v>
      </c>
      <c r="H182" s="37">
        <v>110.0</v>
      </c>
      <c r="I182" s="37">
        <v>2.0</v>
      </c>
      <c r="J182" s="38">
        <v>6.93E7</v>
      </c>
      <c r="K182" s="38">
        <v>3.6E7</v>
      </c>
      <c r="L182" s="40">
        <f>VLOOKUP($A182,'Dataset '!$A:$I,5,0)</f>
        <v>45916</v>
      </c>
      <c r="M182" s="25" t="s">
        <v>1970</v>
      </c>
      <c r="N182" s="38">
        <f t="shared" si="3"/>
        <v>327272.7273</v>
      </c>
      <c r="O182" s="38">
        <f t="shared" ref="O182:P182" si="185">J182/I182</f>
        <v>34650000</v>
      </c>
      <c r="P182" s="41">
        <f t="shared" si="185"/>
        <v>0.5194805195</v>
      </c>
      <c r="Q182" s="37">
        <v>2.0</v>
      </c>
      <c r="R182" s="37">
        <v>0.0</v>
      </c>
      <c r="S182" s="37">
        <v>0.0</v>
      </c>
      <c r="T182" s="37">
        <v>0.0</v>
      </c>
      <c r="U182" s="37">
        <v>0.0</v>
      </c>
      <c r="V182" s="37">
        <v>0.0</v>
      </c>
      <c r="W182" s="25" t="s">
        <v>558</v>
      </c>
    </row>
    <row r="183">
      <c r="A183" s="25" t="s">
        <v>1810</v>
      </c>
      <c r="B183" s="25" t="s">
        <v>48</v>
      </c>
      <c r="C183" s="36" t="s">
        <v>2094</v>
      </c>
      <c r="D183" s="37">
        <v>2017.0</v>
      </c>
      <c r="E183" s="38" t="s">
        <v>1811</v>
      </c>
      <c r="F183" s="38" t="s">
        <v>289</v>
      </c>
      <c r="G183" s="39" t="str">
        <f>VLOOKUP(A183,'Dataset '!A:I,9,0)</f>
        <v>101 - 250</v>
      </c>
      <c r="H183" s="37">
        <v>180.0</v>
      </c>
      <c r="I183" s="37">
        <v>8.0</v>
      </c>
      <c r="J183" s="38">
        <v>9.9278764E7</v>
      </c>
      <c r="K183" s="38">
        <v>5.4E7</v>
      </c>
      <c r="L183" s="40">
        <f>VLOOKUP($A183,'Dataset '!$A:$I,5,0)</f>
        <v>45079</v>
      </c>
      <c r="M183" s="25" t="s">
        <v>2095</v>
      </c>
      <c r="N183" s="38">
        <f t="shared" si="3"/>
        <v>300000</v>
      </c>
      <c r="O183" s="38">
        <f t="shared" ref="O183:P183" si="186">J183/I183</f>
        <v>12409845.5</v>
      </c>
      <c r="P183" s="41">
        <f t="shared" si="186"/>
        <v>0.5439229683</v>
      </c>
      <c r="Q183" s="37">
        <v>21.0</v>
      </c>
      <c r="R183" s="37">
        <v>1.0</v>
      </c>
      <c r="S183" s="37">
        <v>0.0</v>
      </c>
      <c r="T183" s="37">
        <v>2.0</v>
      </c>
      <c r="U183" s="37">
        <v>0.0</v>
      </c>
      <c r="V183" s="37">
        <v>3.0</v>
      </c>
      <c r="W183" s="25" t="s">
        <v>558</v>
      </c>
    </row>
    <row r="184">
      <c r="A184" s="25" t="s">
        <v>1615</v>
      </c>
      <c r="B184" s="25" t="s">
        <v>48</v>
      </c>
      <c r="C184" s="36" t="s">
        <v>1619</v>
      </c>
      <c r="D184" s="37">
        <v>2021.0</v>
      </c>
      <c r="E184" s="38" t="s">
        <v>2096</v>
      </c>
      <c r="F184" s="38" t="s">
        <v>76</v>
      </c>
      <c r="G184" s="39" t="str">
        <f>VLOOKUP(A184,'Dataset '!A:I,9,0)</f>
        <v>101 - 250</v>
      </c>
      <c r="H184" s="37">
        <v>140.0</v>
      </c>
      <c r="I184" s="37">
        <v>4.0</v>
      </c>
      <c r="J184" s="38">
        <v>2.511E7</v>
      </c>
      <c r="K184" s="38">
        <v>5760000.0</v>
      </c>
      <c r="L184" s="40">
        <f>VLOOKUP($A184,'Dataset '!$A:$I,5,0)</f>
        <v>45999</v>
      </c>
      <c r="M184" s="25" t="s">
        <v>2097</v>
      </c>
      <c r="N184" s="38">
        <f t="shared" si="3"/>
        <v>41142.85714</v>
      </c>
      <c r="O184" s="38">
        <f t="shared" ref="O184:P184" si="187">J184/I184</f>
        <v>6277500</v>
      </c>
      <c r="P184" s="41">
        <f t="shared" si="187"/>
        <v>0.229390681</v>
      </c>
      <c r="Q184" s="37">
        <v>18.0</v>
      </c>
      <c r="R184" s="37">
        <v>1.0</v>
      </c>
      <c r="S184" s="37">
        <v>0.0</v>
      </c>
      <c r="T184" s="37">
        <v>0.0</v>
      </c>
      <c r="U184" s="37">
        <v>1.0</v>
      </c>
      <c r="V184" s="37">
        <v>3.0</v>
      </c>
      <c r="W184" s="25" t="s">
        <v>595</v>
      </c>
    </row>
    <row r="185">
      <c r="A185" s="25" t="s">
        <v>1668</v>
      </c>
      <c r="B185" s="25" t="s">
        <v>48</v>
      </c>
      <c r="C185" s="36" t="s">
        <v>1671</v>
      </c>
      <c r="D185" s="37">
        <v>2022.0</v>
      </c>
      <c r="E185" s="38" t="s">
        <v>1669</v>
      </c>
      <c r="F185" s="38" t="s">
        <v>76</v>
      </c>
      <c r="G185" s="39" t="str">
        <f>VLOOKUP(A185,'Dataset '!A:I,9,0)</f>
        <v>101 - 250</v>
      </c>
      <c r="H185" s="37">
        <v>100.0</v>
      </c>
      <c r="I185" s="37">
        <v>3.0</v>
      </c>
      <c r="J185" s="38">
        <v>1.008E7</v>
      </c>
      <c r="K185" s="38">
        <v>6120000.0</v>
      </c>
      <c r="L185" s="40">
        <f>VLOOKUP($A185,'Dataset '!$A:$I,5,0)</f>
        <v>46001</v>
      </c>
      <c r="M185" s="25" t="s">
        <v>2098</v>
      </c>
      <c r="N185" s="38">
        <f t="shared" si="3"/>
        <v>61200</v>
      </c>
      <c r="O185" s="38">
        <f t="shared" ref="O185:P185" si="188">J185/I185</f>
        <v>3360000</v>
      </c>
      <c r="P185" s="41">
        <f t="shared" si="188"/>
        <v>0.6071428571</v>
      </c>
      <c r="Q185" s="37">
        <v>53.0</v>
      </c>
      <c r="R185" s="37">
        <v>2.0</v>
      </c>
      <c r="S185" s="37">
        <v>3.0</v>
      </c>
      <c r="T185" s="37">
        <v>4.0</v>
      </c>
      <c r="U185" s="37">
        <v>1.0</v>
      </c>
      <c r="V185" s="37">
        <v>3.0</v>
      </c>
      <c r="W185" s="25" t="s">
        <v>558</v>
      </c>
    </row>
    <row r="186">
      <c r="A186" s="25" t="s">
        <v>1864</v>
      </c>
      <c r="B186" s="25" t="s">
        <v>48</v>
      </c>
      <c r="C186" s="36" t="s">
        <v>1894</v>
      </c>
      <c r="D186" s="37">
        <v>2020.0</v>
      </c>
      <c r="E186" s="38" t="s">
        <v>1865</v>
      </c>
      <c r="F186" s="38" t="s">
        <v>76</v>
      </c>
      <c r="G186" s="39" t="str">
        <f>VLOOKUP(A186,'Dataset '!A:I,9,0)</f>
        <v>101 - 250</v>
      </c>
      <c r="H186" s="37">
        <v>110.0</v>
      </c>
      <c r="I186" s="37">
        <v>5.0</v>
      </c>
      <c r="J186" s="38">
        <v>3.4091248E7</v>
      </c>
      <c r="K186" s="38">
        <v>1.3014E7</v>
      </c>
      <c r="L186" s="40">
        <f>VLOOKUP($A186,'Dataset '!$A:$I,5,0)</f>
        <v>45243</v>
      </c>
      <c r="M186" s="25" t="s">
        <v>2099</v>
      </c>
      <c r="N186" s="38">
        <f t="shared" si="3"/>
        <v>118309.0909</v>
      </c>
      <c r="O186" s="38">
        <f t="shared" ref="O186:P186" si="189">J186/I186</f>
        <v>6818249.6</v>
      </c>
      <c r="P186" s="41">
        <f t="shared" si="189"/>
        <v>0.381740205</v>
      </c>
      <c r="Q186" s="37">
        <v>62.0</v>
      </c>
      <c r="R186" s="37">
        <v>0.0</v>
      </c>
      <c r="S186" s="37">
        <v>4.0</v>
      </c>
      <c r="T186" s="37">
        <v>5.0</v>
      </c>
      <c r="U186" s="37">
        <v>2.0</v>
      </c>
      <c r="V186" s="37">
        <v>3.0</v>
      </c>
      <c r="W186" s="25" t="s">
        <v>558</v>
      </c>
    </row>
    <row r="187">
      <c r="A187" s="25" t="s">
        <v>1880</v>
      </c>
      <c r="B187" s="25" t="s">
        <v>52</v>
      </c>
      <c r="C187" s="36" t="s">
        <v>1911</v>
      </c>
      <c r="D187" s="37">
        <v>2017.0</v>
      </c>
      <c r="E187" s="38" t="s">
        <v>1504</v>
      </c>
      <c r="F187" s="38" t="s">
        <v>76</v>
      </c>
      <c r="G187" s="39" t="str">
        <f>VLOOKUP(A187,'Dataset '!A:I,9,0)</f>
        <v>101 - 250</v>
      </c>
      <c r="H187" s="37">
        <v>120.0</v>
      </c>
      <c r="I187" s="37">
        <v>8.0</v>
      </c>
      <c r="J187" s="38">
        <v>2.3368167E7</v>
      </c>
      <c r="K187" s="38">
        <v>1.638E7</v>
      </c>
      <c r="L187" s="40">
        <f>VLOOKUP($A187,'Dataset '!$A:$I,5,0)</f>
        <v>45587</v>
      </c>
      <c r="M187" s="25" t="s">
        <v>2100</v>
      </c>
      <c r="N187" s="38">
        <f t="shared" si="3"/>
        <v>136500</v>
      </c>
      <c r="O187" s="38">
        <f t="shared" ref="O187:P187" si="190">J187/I187</f>
        <v>2921020.875</v>
      </c>
      <c r="P187" s="41">
        <f t="shared" si="190"/>
        <v>0.7009535664</v>
      </c>
      <c r="Q187" s="37">
        <v>29.0</v>
      </c>
      <c r="R187" s="37">
        <v>1.0</v>
      </c>
      <c r="S187" s="37">
        <v>5.0</v>
      </c>
      <c r="T187" s="37">
        <v>1.0</v>
      </c>
      <c r="U187" s="37">
        <v>2.0</v>
      </c>
      <c r="V187" s="37">
        <v>0.0</v>
      </c>
      <c r="W187" s="25" t="s">
        <v>558</v>
      </c>
    </row>
    <row r="188">
      <c r="A188" s="25" t="s">
        <v>621</v>
      </c>
      <c r="B188" s="25" t="s">
        <v>48</v>
      </c>
      <c r="C188" s="36" t="s">
        <v>993</v>
      </c>
      <c r="D188" s="37">
        <v>2017.0</v>
      </c>
      <c r="E188" s="38" t="s">
        <v>622</v>
      </c>
      <c r="F188" s="38" t="s">
        <v>76</v>
      </c>
      <c r="G188" s="39" t="str">
        <f>VLOOKUP(A188,'Dataset '!A:I,9,0)</f>
        <v>251 - 500</v>
      </c>
      <c r="H188" s="37">
        <v>320.0</v>
      </c>
      <c r="I188" s="37">
        <v>8.0</v>
      </c>
      <c r="J188" s="38">
        <v>1.1E7</v>
      </c>
      <c r="K188" s="38">
        <v>4500000.0</v>
      </c>
      <c r="L188" s="40">
        <f>VLOOKUP($A188,'Dataset '!$A:$I,5,0)</f>
        <v>44364</v>
      </c>
      <c r="M188" s="38">
        <f t="shared" ref="M188:M196" si="192">J188/H188</f>
        <v>34375</v>
      </c>
      <c r="N188" s="38">
        <f t="shared" si="3"/>
        <v>14062.5</v>
      </c>
      <c r="O188" s="38">
        <f t="shared" ref="O188:P188" si="191">J188/I188</f>
        <v>1375000</v>
      </c>
      <c r="P188" s="41">
        <f t="shared" si="191"/>
        <v>0.4090909091</v>
      </c>
      <c r="Q188" s="37">
        <v>24.0</v>
      </c>
      <c r="R188" s="37">
        <v>1.0</v>
      </c>
      <c r="S188" s="37">
        <v>0.0</v>
      </c>
      <c r="T188" s="37">
        <v>1.0</v>
      </c>
      <c r="U188" s="37">
        <v>1.0</v>
      </c>
      <c r="V188" s="37">
        <v>4.0</v>
      </c>
      <c r="W188" s="25" t="s">
        <v>558</v>
      </c>
    </row>
    <row r="189">
      <c r="A189" s="25" t="s">
        <v>628</v>
      </c>
      <c r="B189" s="25" t="s">
        <v>48</v>
      </c>
      <c r="C189" s="36" t="s">
        <v>1003</v>
      </c>
      <c r="D189" s="37">
        <v>2012.0</v>
      </c>
      <c r="E189" s="38" t="s">
        <v>629</v>
      </c>
      <c r="F189" s="38" t="s">
        <v>38</v>
      </c>
      <c r="G189" s="39" t="str">
        <f>VLOOKUP(A189,'Dataset '!A:I,9,0)</f>
        <v>251 - 500</v>
      </c>
      <c r="H189" s="37">
        <v>460.0</v>
      </c>
      <c r="I189" s="37">
        <v>13.0</v>
      </c>
      <c r="J189" s="38">
        <v>8800000.0</v>
      </c>
      <c r="K189" s="38">
        <v>4800000.0</v>
      </c>
      <c r="L189" s="40">
        <f>VLOOKUP($A189,'Dataset '!$A:$I,5,0)</f>
        <v>43069</v>
      </c>
      <c r="M189" s="38">
        <f t="shared" si="192"/>
        <v>19130.43478</v>
      </c>
      <c r="N189" s="38">
        <f t="shared" si="3"/>
        <v>10434.78261</v>
      </c>
      <c r="O189" s="38">
        <f t="shared" ref="O189:P189" si="193">J189/I189</f>
        <v>676923.0769</v>
      </c>
      <c r="P189" s="41">
        <f t="shared" si="193"/>
        <v>0.5454545455</v>
      </c>
      <c r="Q189" s="37">
        <v>119.0</v>
      </c>
      <c r="R189" s="37">
        <v>0.0</v>
      </c>
      <c r="S189" s="37">
        <v>14.0</v>
      </c>
      <c r="T189" s="37">
        <v>6.0</v>
      </c>
      <c r="U189" s="37">
        <v>9.0</v>
      </c>
      <c r="V189" s="37">
        <v>9.0</v>
      </c>
      <c r="W189" s="25" t="s">
        <v>569</v>
      </c>
    </row>
    <row r="190">
      <c r="A190" s="25" t="s">
        <v>634</v>
      </c>
      <c r="B190" s="25" t="s">
        <v>48</v>
      </c>
      <c r="C190" s="36" t="s">
        <v>1015</v>
      </c>
      <c r="D190" s="37">
        <v>2018.0</v>
      </c>
      <c r="E190" s="38" t="s">
        <v>635</v>
      </c>
      <c r="F190" s="38" t="s">
        <v>76</v>
      </c>
      <c r="G190" s="39" t="str">
        <f>VLOOKUP(A190,'Dataset '!A:I,9,0)</f>
        <v>251 - 500</v>
      </c>
      <c r="H190" s="37">
        <v>270.0</v>
      </c>
      <c r="I190" s="37">
        <v>7.0</v>
      </c>
      <c r="J190" s="38">
        <v>6000000.0</v>
      </c>
      <c r="K190" s="38">
        <v>5500000.0</v>
      </c>
      <c r="L190" s="40">
        <f>VLOOKUP($A190,'Dataset '!$A:$I,5,0)</f>
        <v>45825</v>
      </c>
      <c r="M190" s="38">
        <f t="shared" si="192"/>
        <v>22222.22222</v>
      </c>
      <c r="N190" s="38">
        <f t="shared" si="3"/>
        <v>20370.37037</v>
      </c>
      <c r="O190" s="38">
        <f t="shared" ref="O190:P190" si="194">J190/I190</f>
        <v>857142.8571</v>
      </c>
      <c r="P190" s="41">
        <f t="shared" si="194"/>
        <v>0.9166666667</v>
      </c>
      <c r="Q190" s="37">
        <v>10.0</v>
      </c>
      <c r="R190" s="37">
        <v>1.0</v>
      </c>
      <c r="S190" s="37">
        <v>0.0</v>
      </c>
      <c r="T190" s="37">
        <v>1.0</v>
      </c>
      <c r="U190" s="37">
        <v>0.0</v>
      </c>
      <c r="V190" s="37">
        <v>1.0</v>
      </c>
      <c r="W190" s="25" t="s">
        <v>550</v>
      </c>
    </row>
    <row r="191">
      <c r="A191" s="25" t="s">
        <v>723</v>
      </c>
      <c r="B191" s="25" t="s">
        <v>48</v>
      </c>
      <c r="C191" s="36" t="s">
        <v>1132</v>
      </c>
      <c r="D191" s="37">
        <v>2018.0</v>
      </c>
      <c r="E191" s="38" t="s">
        <v>724</v>
      </c>
      <c r="F191" s="38" t="s">
        <v>289</v>
      </c>
      <c r="G191" s="39" t="str">
        <f>VLOOKUP(A191,'Dataset '!A:I,9,0)</f>
        <v>251 - 500</v>
      </c>
      <c r="H191" s="37">
        <v>490.0</v>
      </c>
      <c r="I191" s="37">
        <v>7.0</v>
      </c>
      <c r="J191" s="38">
        <v>6.6231E7</v>
      </c>
      <c r="K191" s="38">
        <v>1.0E7</v>
      </c>
      <c r="L191" s="40">
        <f>VLOOKUP($A191,'Dataset '!$A:$I,5,0)</f>
        <v>45643</v>
      </c>
      <c r="M191" s="38">
        <f t="shared" si="192"/>
        <v>135165.3061</v>
      </c>
      <c r="N191" s="38">
        <f t="shared" si="3"/>
        <v>20408.16327</v>
      </c>
      <c r="O191" s="38">
        <f t="shared" ref="O191:P191" si="195">J191/I191</f>
        <v>9461571.429</v>
      </c>
      <c r="P191" s="41">
        <f t="shared" si="195"/>
        <v>0.1509866981</v>
      </c>
      <c r="Q191" s="37">
        <v>24.0</v>
      </c>
      <c r="R191" s="37">
        <v>1.0</v>
      </c>
      <c r="S191" s="37">
        <v>1.0</v>
      </c>
      <c r="T191" s="37">
        <v>0.0</v>
      </c>
      <c r="U191" s="37">
        <v>0.0</v>
      </c>
      <c r="V191" s="37">
        <v>4.0</v>
      </c>
      <c r="W191" s="25" t="s">
        <v>569</v>
      </c>
    </row>
    <row r="192">
      <c r="A192" s="25" t="s">
        <v>738</v>
      </c>
      <c r="B192" s="25" t="s">
        <v>48</v>
      </c>
      <c r="C192" s="36" t="s">
        <v>1156</v>
      </c>
      <c r="D192" s="37">
        <v>2020.0</v>
      </c>
      <c r="E192" s="38" t="s">
        <v>739</v>
      </c>
      <c r="F192" s="38" t="s">
        <v>38</v>
      </c>
      <c r="G192" s="39" t="str">
        <f>VLOOKUP(A192,'Dataset '!A:I,9,0)</f>
        <v>251 - 500</v>
      </c>
      <c r="H192" s="37">
        <v>150.0</v>
      </c>
      <c r="I192" s="37">
        <v>5.0</v>
      </c>
      <c r="J192" s="38">
        <v>3.1005209E7</v>
      </c>
      <c r="K192" s="38">
        <v>1.0E7</v>
      </c>
      <c r="L192" s="40">
        <f>VLOOKUP($A192,'Dataset '!$A:$I,5,0)</f>
        <v>45316</v>
      </c>
      <c r="M192" s="38">
        <f t="shared" si="192"/>
        <v>206701.3933</v>
      </c>
      <c r="N192" s="38">
        <f t="shared" si="3"/>
        <v>66666.66667</v>
      </c>
      <c r="O192" s="38">
        <f t="shared" ref="O192:P192" si="196">J192/I192</f>
        <v>6201041.8</v>
      </c>
      <c r="P192" s="41">
        <f t="shared" si="196"/>
        <v>0.3225264503</v>
      </c>
      <c r="Q192" s="37">
        <v>15.0</v>
      </c>
      <c r="R192" s="37">
        <v>0.0</v>
      </c>
      <c r="S192" s="37">
        <v>0.0</v>
      </c>
      <c r="T192" s="37">
        <v>0.0</v>
      </c>
      <c r="U192" s="37">
        <v>0.0</v>
      </c>
      <c r="V192" s="37">
        <v>3.0</v>
      </c>
      <c r="W192" s="25" t="s">
        <v>569</v>
      </c>
    </row>
    <row r="193">
      <c r="A193" s="25" t="s">
        <v>800</v>
      </c>
      <c r="B193" s="25" t="s">
        <v>48</v>
      </c>
      <c r="C193" s="36" t="s">
        <v>1256</v>
      </c>
      <c r="D193" s="37">
        <v>2019.0</v>
      </c>
      <c r="E193" s="38" t="s">
        <v>802</v>
      </c>
      <c r="F193" s="38" t="s">
        <v>752</v>
      </c>
      <c r="G193" s="39" t="str">
        <f>VLOOKUP(A193,'Dataset '!A:I,9,0)</f>
        <v>251 - 500</v>
      </c>
      <c r="H193" s="25">
        <v>375.0</v>
      </c>
      <c r="I193" s="37">
        <v>6.0</v>
      </c>
      <c r="J193" s="38">
        <v>9.0268052E7</v>
      </c>
      <c r="K193" s="38">
        <v>1.25E7</v>
      </c>
      <c r="L193" s="40">
        <f>VLOOKUP($A193,'Dataset '!$A:$I,5,0)</f>
        <v>45544</v>
      </c>
      <c r="M193" s="38">
        <f t="shared" si="192"/>
        <v>240714.8053</v>
      </c>
      <c r="N193" s="38">
        <f t="shared" si="3"/>
        <v>33333.33333</v>
      </c>
      <c r="O193" s="38">
        <f t="shared" ref="O193:P193" si="197">J193/I193</f>
        <v>15044675.33</v>
      </c>
      <c r="P193" s="41">
        <f t="shared" si="197"/>
        <v>0.1384764568</v>
      </c>
      <c r="Q193" s="37">
        <v>26.0</v>
      </c>
      <c r="R193" s="37">
        <v>0.0</v>
      </c>
      <c r="S193" s="37">
        <v>0.0</v>
      </c>
      <c r="T193" s="37">
        <v>5.0</v>
      </c>
      <c r="U193" s="37">
        <v>1.0</v>
      </c>
      <c r="V193" s="37">
        <v>1.0</v>
      </c>
      <c r="W193" s="25" t="s">
        <v>550</v>
      </c>
    </row>
    <row r="194">
      <c r="A194" s="25" t="s">
        <v>816</v>
      </c>
      <c r="B194" s="25" t="s">
        <v>48</v>
      </c>
      <c r="C194" s="36" t="s">
        <v>2101</v>
      </c>
      <c r="D194" s="37">
        <v>2016.0</v>
      </c>
      <c r="E194" s="38" t="s">
        <v>472</v>
      </c>
      <c r="F194" s="38" t="s">
        <v>752</v>
      </c>
      <c r="G194" s="39" t="str">
        <f>VLOOKUP(A194,'Dataset '!A:I,9,0)</f>
        <v>251 - 500</v>
      </c>
      <c r="H194" s="37">
        <v>440.0</v>
      </c>
      <c r="I194" s="37">
        <v>9.0</v>
      </c>
      <c r="J194" s="38">
        <v>1.56130284E8</v>
      </c>
      <c r="K194" s="38">
        <v>1.25E8</v>
      </c>
      <c r="L194" s="40">
        <f>VLOOKUP($A194,'Dataset '!$A:$I,5,0)</f>
        <v>45461</v>
      </c>
      <c r="M194" s="38">
        <f t="shared" si="192"/>
        <v>354841.5545</v>
      </c>
      <c r="N194" s="38">
        <f t="shared" si="3"/>
        <v>284090.9091</v>
      </c>
      <c r="O194" s="38">
        <f t="shared" ref="O194:P194" si="198">J194/I194</f>
        <v>17347809.33</v>
      </c>
      <c r="P194" s="41">
        <f t="shared" si="198"/>
        <v>0.8006134159</v>
      </c>
      <c r="Q194" s="37">
        <v>85.0</v>
      </c>
      <c r="R194" s="37">
        <v>0.0</v>
      </c>
      <c r="S194" s="37">
        <v>5.0</v>
      </c>
      <c r="T194" s="37">
        <v>7.0</v>
      </c>
      <c r="U194" s="37">
        <v>4.0</v>
      </c>
      <c r="V194" s="37">
        <v>6.0</v>
      </c>
      <c r="W194" s="25" t="s">
        <v>558</v>
      </c>
    </row>
    <row r="195">
      <c r="A195" s="25" t="s">
        <v>823</v>
      </c>
      <c r="B195" s="25" t="s">
        <v>48</v>
      </c>
      <c r="C195" s="36" t="s">
        <v>1276</v>
      </c>
      <c r="D195" s="37">
        <v>2019.0</v>
      </c>
      <c r="E195" s="38" t="s">
        <v>824</v>
      </c>
      <c r="F195" s="38" t="s">
        <v>76</v>
      </c>
      <c r="G195" s="39" t="str">
        <f>VLOOKUP(A195,'Dataset '!A:I,9,0)</f>
        <v>251 - 500</v>
      </c>
      <c r="H195" s="37">
        <v>340.0</v>
      </c>
      <c r="I195" s="37">
        <v>6.0</v>
      </c>
      <c r="J195" s="38">
        <v>1.85E7</v>
      </c>
      <c r="K195" s="38">
        <v>1.5E7</v>
      </c>
      <c r="L195" s="40">
        <f>VLOOKUP($A195,'Dataset '!$A:$I,5,0)</f>
        <v>44470</v>
      </c>
      <c r="M195" s="38">
        <f t="shared" si="192"/>
        <v>54411.76471</v>
      </c>
      <c r="N195" s="38">
        <f t="shared" si="3"/>
        <v>44117.64706</v>
      </c>
      <c r="O195" s="38">
        <f t="shared" ref="O195:P195" si="199">J195/I195</f>
        <v>3083333.333</v>
      </c>
      <c r="P195" s="41">
        <f t="shared" si="199"/>
        <v>0.8108108108</v>
      </c>
      <c r="Q195" s="37">
        <v>12.0</v>
      </c>
      <c r="R195" s="37">
        <v>0.0</v>
      </c>
      <c r="S195" s="37">
        <v>0.0</v>
      </c>
      <c r="T195" s="37">
        <v>1.0</v>
      </c>
      <c r="U195" s="37">
        <v>1.0</v>
      </c>
      <c r="V195" s="37">
        <v>2.0</v>
      </c>
      <c r="W195" s="25" t="s">
        <v>550</v>
      </c>
    </row>
    <row r="196">
      <c r="A196" s="25" t="s">
        <v>888</v>
      </c>
      <c r="B196" s="25" t="s">
        <v>48</v>
      </c>
      <c r="C196" s="36" t="s">
        <v>2102</v>
      </c>
      <c r="D196" s="37">
        <v>2019.0</v>
      </c>
      <c r="E196" s="38" t="s">
        <v>640</v>
      </c>
      <c r="F196" s="38" t="s">
        <v>289</v>
      </c>
      <c r="G196" s="39" t="str">
        <f>VLOOKUP(A196,'Dataset '!A:I,9,0)</f>
        <v>251 - 500</v>
      </c>
      <c r="H196" s="37">
        <v>360.0</v>
      </c>
      <c r="I196" s="37">
        <v>6.0</v>
      </c>
      <c r="J196" s="38">
        <v>8.6290928E7</v>
      </c>
      <c r="K196" s="38">
        <v>2.1E7</v>
      </c>
      <c r="L196" s="40">
        <f>VLOOKUP($A196,'Dataset '!$A:$I,5,0)</f>
        <v>45908</v>
      </c>
      <c r="M196" s="38">
        <f t="shared" si="192"/>
        <v>239697.0222</v>
      </c>
      <c r="N196" s="38">
        <f t="shared" si="3"/>
        <v>58333.33333</v>
      </c>
      <c r="O196" s="38">
        <f t="shared" ref="O196:P196" si="200">J196/I196</f>
        <v>14381821.33</v>
      </c>
      <c r="P196" s="41">
        <f t="shared" si="200"/>
        <v>0.2433627785</v>
      </c>
      <c r="Q196" s="37">
        <v>18.0</v>
      </c>
      <c r="R196" s="37">
        <v>0.0</v>
      </c>
      <c r="S196" s="37">
        <v>0.0</v>
      </c>
      <c r="T196" s="37">
        <v>1.0</v>
      </c>
      <c r="U196" s="37">
        <v>4.0</v>
      </c>
      <c r="V196" s="37">
        <v>0.0</v>
      </c>
      <c r="W196" s="25" t="s">
        <v>569</v>
      </c>
    </row>
    <row r="197">
      <c r="A197" s="25" t="s">
        <v>1133</v>
      </c>
      <c r="B197" s="25" t="s">
        <v>48</v>
      </c>
      <c r="C197" s="36" t="s">
        <v>1600</v>
      </c>
      <c r="D197" s="37">
        <v>2019.0</v>
      </c>
      <c r="E197" s="38" t="s">
        <v>1134</v>
      </c>
      <c r="F197" s="38" t="s">
        <v>289</v>
      </c>
      <c r="G197" s="39" t="str">
        <f>VLOOKUP(A197,'Dataset '!A:I,9,0)</f>
        <v>251 - 500</v>
      </c>
      <c r="H197" s="37">
        <v>410.0</v>
      </c>
      <c r="I197" s="37">
        <v>6.0</v>
      </c>
      <c r="J197" s="38">
        <v>8.955E7</v>
      </c>
      <c r="K197" s="38">
        <v>5.5E7</v>
      </c>
      <c r="L197" s="40">
        <f>VLOOKUP($A197,'Dataset '!$A:$I,5,0)</f>
        <v>45503</v>
      </c>
      <c r="M197" s="25" t="s">
        <v>2103</v>
      </c>
      <c r="N197" s="38">
        <f t="shared" si="3"/>
        <v>134146.3415</v>
      </c>
      <c r="O197" s="38">
        <f t="shared" ref="O197:P197" si="201">J197/I197</f>
        <v>14925000</v>
      </c>
      <c r="P197" s="41">
        <f t="shared" si="201"/>
        <v>0.6141820212</v>
      </c>
      <c r="Q197" s="37">
        <v>33.0</v>
      </c>
      <c r="R197" s="37">
        <v>0.0</v>
      </c>
      <c r="S197" s="37">
        <v>1.0</v>
      </c>
      <c r="T197" s="37">
        <v>1.0</v>
      </c>
      <c r="U197" s="37">
        <v>3.0</v>
      </c>
      <c r="V197" s="37">
        <v>4.0</v>
      </c>
      <c r="W197" s="25" t="s">
        <v>569</v>
      </c>
    </row>
    <row r="198">
      <c r="A198" s="25" t="s">
        <v>1162</v>
      </c>
      <c r="B198" s="25" t="s">
        <v>48</v>
      </c>
      <c r="C198" s="36" t="s">
        <v>1630</v>
      </c>
      <c r="D198" s="37">
        <v>2018.0</v>
      </c>
      <c r="E198" s="38" t="s">
        <v>1164</v>
      </c>
      <c r="F198" s="38" t="s">
        <v>289</v>
      </c>
      <c r="G198" s="39" t="str">
        <f>VLOOKUP(A198,'Dataset '!A:I,9,0)</f>
        <v>251 - 500</v>
      </c>
      <c r="H198" s="37">
        <v>440.0</v>
      </c>
      <c r="I198" s="37">
        <v>7.0</v>
      </c>
      <c r="J198" s="38">
        <v>3.75E8</v>
      </c>
      <c r="K198" s="38">
        <v>6.3E7</v>
      </c>
      <c r="L198" s="40">
        <f>VLOOKUP($A198,'Dataset '!$A:$I,5,0)</f>
        <v>45869</v>
      </c>
      <c r="M198" s="25" t="s">
        <v>2104</v>
      </c>
      <c r="N198" s="38">
        <f t="shared" si="3"/>
        <v>143181.8182</v>
      </c>
      <c r="O198" s="38">
        <f t="shared" ref="O198:P198" si="202">J198/I198</f>
        <v>53571428.57</v>
      </c>
      <c r="P198" s="41">
        <f t="shared" si="202"/>
        <v>0.168</v>
      </c>
      <c r="Q198" s="37">
        <v>28.0</v>
      </c>
      <c r="R198" s="37">
        <v>0.0</v>
      </c>
      <c r="S198" s="37">
        <v>2.0</v>
      </c>
      <c r="T198" s="37">
        <v>3.0</v>
      </c>
      <c r="U198" s="37">
        <v>1.0</v>
      </c>
      <c r="V198" s="37">
        <v>3.0</v>
      </c>
      <c r="W198" s="25" t="s">
        <v>569</v>
      </c>
    </row>
    <row r="199">
      <c r="A199" s="36" t="s">
        <v>1432</v>
      </c>
      <c r="B199" s="25" t="s">
        <v>52</v>
      </c>
      <c r="C199" s="36" t="s">
        <v>1901</v>
      </c>
      <c r="D199" s="37">
        <v>2019.0</v>
      </c>
      <c r="E199" s="38" t="s">
        <v>1433</v>
      </c>
      <c r="F199" s="38" t="s">
        <v>289</v>
      </c>
      <c r="G199" s="39" t="str">
        <f>VLOOKUP(A199,'Dataset '!A:I,9,0)</f>
        <v>251 - 500</v>
      </c>
      <c r="H199" s="37">
        <v>350.0</v>
      </c>
      <c r="I199" s="37">
        <v>6.0</v>
      </c>
      <c r="J199" s="38">
        <v>3.186E7</v>
      </c>
      <c r="K199" s="38">
        <v>3.024E7</v>
      </c>
      <c r="L199" s="40">
        <f>VLOOKUP($A199,'Dataset '!$A:$I,5,0)</f>
        <v>45805</v>
      </c>
      <c r="M199" s="25" t="s">
        <v>2105</v>
      </c>
      <c r="N199" s="38">
        <f t="shared" si="3"/>
        <v>86400</v>
      </c>
      <c r="O199" s="38">
        <f t="shared" ref="O199:P199" si="203">J199/I199</f>
        <v>5310000</v>
      </c>
      <c r="P199" s="41">
        <f t="shared" si="203"/>
        <v>0.9491525424</v>
      </c>
      <c r="Q199" s="37">
        <v>39.0</v>
      </c>
      <c r="R199" s="37">
        <v>1.0</v>
      </c>
      <c r="S199" s="37">
        <v>0.0</v>
      </c>
      <c r="T199" s="37">
        <v>6.0</v>
      </c>
      <c r="U199" s="37">
        <v>5.0</v>
      </c>
      <c r="V199" s="37">
        <v>0.0</v>
      </c>
      <c r="W199" s="25" t="s">
        <v>569</v>
      </c>
    </row>
    <row r="200">
      <c r="A200" s="25" t="s">
        <v>1640</v>
      </c>
      <c r="B200" s="25" t="s">
        <v>48</v>
      </c>
      <c r="C200" s="36" t="s">
        <v>1727</v>
      </c>
      <c r="D200" s="37">
        <v>2015.0</v>
      </c>
      <c r="E200" s="38" t="s">
        <v>1642</v>
      </c>
      <c r="F200" s="38" t="s">
        <v>76</v>
      </c>
      <c r="G200" s="39" t="str">
        <f>VLOOKUP(A200,'Dataset '!A:I,9,0)</f>
        <v>251 - 500</v>
      </c>
      <c r="H200" s="37">
        <v>260.0</v>
      </c>
      <c r="I200" s="37">
        <v>10.0</v>
      </c>
      <c r="J200" s="38">
        <v>7200000.0</v>
      </c>
      <c r="K200" s="38">
        <v>7200000.0</v>
      </c>
      <c r="L200" s="40">
        <f>VLOOKUP($A200,'Dataset '!$A:$I,5,0)</f>
        <v>44823</v>
      </c>
      <c r="M200" s="25" t="s">
        <v>2016</v>
      </c>
      <c r="N200" s="38">
        <f t="shared" si="3"/>
        <v>27692.30769</v>
      </c>
      <c r="O200" s="38">
        <f t="shared" ref="O200:P200" si="204">J200/I200</f>
        <v>720000</v>
      </c>
      <c r="P200" s="41">
        <f t="shared" si="204"/>
        <v>1</v>
      </c>
      <c r="Q200" s="37">
        <v>26.0</v>
      </c>
      <c r="R200" s="37">
        <v>1.0</v>
      </c>
      <c r="S200" s="37">
        <v>0.0</v>
      </c>
      <c r="T200" s="37">
        <v>0.0</v>
      </c>
      <c r="U200" s="37">
        <v>2.0</v>
      </c>
      <c r="V200" s="37">
        <v>2.0</v>
      </c>
      <c r="W200" s="25" t="s">
        <v>595</v>
      </c>
    </row>
    <row r="201">
      <c r="A201" s="26" t="s">
        <v>1672</v>
      </c>
      <c r="B201" s="25" t="s">
        <v>48</v>
      </c>
      <c r="C201" s="36" t="s">
        <v>1890</v>
      </c>
      <c r="D201" s="37">
        <v>2015.0</v>
      </c>
      <c r="E201" s="38" t="s">
        <v>368</v>
      </c>
      <c r="F201" s="38" t="s">
        <v>38</v>
      </c>
      <c r="G201" s="39" t="str">
        <f>VLOOKUP(A201,'Dataset '!A:I,9,0)</f>
        <v>251 - 500</v>
      </c>
      <c r="H201" s="37">
        <v>290.0</v>
      </c>
      <c r="I201" s="37">
        <v>10.0</v>
      </c>
      <c r="J201" s="38">
        <v>1.93E7</v>
      </c>
      <c r="K201" s="38">
        <v>1.224E7</v>
      </c>
      <c r="L201" s="40">
        <f>VLOOKUP($A201,'Dataset '!$A:$I,5,0)</f>
        <v>45474</v>
      </c>
      <c r="M201" s="25" t="s">
        <v>2106</v>
      </c>
      <c r="N201" s="38">
        <f t="shared" si="3"/>
        <v>42206.89655</v>
      </c>
      <c r="O201" s="38">
        <f t="shared" ref="O201:P201" si="205">J201/I201</f>
        <v>1930000</v>
      </c>
      <c r="P201" s="41">
        <f t="shared" si="205"/>
        <v>0.6341968912</v>
      </c>
      <c r="Q201" s="37">
        <v>19.0</v>
      </c>
      <c r="R201" s="37">
        <v>0.0</v>
      </c>
      <c r="S201" s="37">
        <v>0.0</v>
      </c>
      <c r="T201" s="37">
        <v>1.0</v>
      </c>
      <c r="U201" s="37">
        <v>0.0</v>
      </c>
      <c r="V201" s="37">
        <v>1.0</v>
      </c>
      <c r="W201" s="25" t="s">
        <v>558</v>
      </c>
    </row>
    <row r="202">
      <c r="A202" s="25" t="s">
        <v>974</v>
      </c>
      <c r="B202" s="25" t="s">
        <v>48</v>
      </c>
      <c r="C202" s="36" t="s">
        <v>2107</v>
      </c>
      <c r="D202" s="37">
        <v>2018.0</v>
      </c>
      <c r="E202" s="38" t="s">
        <v>975</v>
      </c>
      <c r="F202" s="38" t="s">
        <v>59</v>
      </c>
      <c r="G202" s="39" t="str">
        <f>VLOOKUP(A202,'Dataset '!A:I,9,0)</f>
        <v>251 - 500</v>
      </c>
      <c r="H202" s="37">
        <v>440.0</v>
      </c>
      <c r="I202" s="37">
        <v>7.0</v>
      </c>
      <c r="J202" s="38">
        <v>1500000.0</v>
      </c>
      <c r="K202" s="38">
        <v>1260000.0</v>
      </c>
      <c r="L202" s="40">
        <f>VLOOKUP($A202,'Dataset '!$A:$I,5,0)</f>
        <v>44560</v>
      </c>
      <c r="M202" s="25" t="s">
        <v>2108</v>
      </c>
      <c r="N202" s="38">
        <f t="shared" si="3"/>
        <v>2863.636364</v>
      </c>
      <c r="O202" s="38">
        <f t="shared" ref="O202:P202" si="206">J202/I202</f>
        <v>214285.7143</v>
      </c>
      <c r="P202" s="41">
        <f t="shared" si="206"/>
        <v>0.84</v>
      </c>
      <c r="Q202" s="37">
        <v>33.0</v>
      </c>
      <c r="R202" s="37">
        <v>1.0</v>
      </c>
      <c r="S202" s="37">
        <v>1.0</v>
      </c>
      <c r="T202" s="37">
        <v>3.0</v>
      </c>
      <c r="U202" s="37">
        <v>2.0</v>
      </c>
      <c r="V202" s="37">
        <v>4.0</v>
      </c>
      <c r="W202" s="25" t="s">
        <v>569</v>
      </c>
    </row>
    <row r="203">
      <c r="A203" s="25" t="s">
        <v>1728</v>
      </c>
      <c r="B203" s="25" t="s">
        <v>48</v>
      </c>
      <c r="C203" s="36" t="s">
        <v>1940</v>
      </c>
      <c r="D203" s="37">
        <v>2014.0</v>
      </c>
      <c r="E203" s="38" t="s">
        <v>1729</v>
      </c>
      <c r="F203" s="38" t="s">
        <v>289</v>
      </c>
      <c r="G203" s="39" t="str">
        <f>VLOOKUP(A203,'Dataset '!A:I,9,0)</f>
        <v>251 - 500</v>
      </c>
      <c r="H203" s="37">
        <v>270.0</v>
      </c>
      <c r="I203" s="37">
        <v>11.0</v>
      </c>
      <c r="J203" s="38">
        <v>2.268E7</v>
      </c>
      <c r="K203" s="38">
        <v>2.268E7</v>
      </c>
      <c r="L203" s="40">
        <f>VLOOKUP($A203,'Dataset '!$A:$I,5,0)</f>
        <v>45490</v>
      </c>
      <c r="M203" s="25" t="s">
        <v>2109</v>
      </c>
      <c r="N203" s="38">
        <f t="shared" si="3"/>
        <v>84000</v>
      </c>
      <c r="O203" s="38">
        <f t="shared" ref="O203:P203" si="207">J203/I203</f>
        <v>2061818.182</v>
      </c>
      <c r="P203" s="41">
        <f t="shared" si="207"/>
        <v>1</v>
      </c>
      <c r="Q203" s="37">
        <v>20.0</v>
      </c>
      <c r="R203" s="37">
        <v>0.0</v>
      </c>
      <c r="S203" s="37">
        <v>3.0</v>
      </c>
      <c r="T203" s="37">
        <v>1.0</v>
      </c>
      <c r="U203" s="37">
        <v>2.0</v>
      </c>
      <c r="V203" s="37">
        <v>2.0</v>
      </c>
      <c r="W203" s="25" t="s">
        <v>558</v>
      </c>
    </row>
    <row r="204">
      <c r="A204" s="25" t="s">
        <v>1751</v>
      </c>
      <c r="B204" s="25" t="s">
        <v>48</v>
      </c>
      <c r="C204" s="36" t="s">
        <v>1952</v>
      </c>
      <c r="D204" s="37">
        <v>2016.0</v>
      </c>
      <c r="E204" s="38" t="s">
        <v>1752</v>
      </c>
      <c r="F204" s="38" t="s">
        <v>289</v>
      </c>
      <c r="G204" s="39" t="str">
        <f>VLOOKUP(A204,'Dataset '!A:I,9,0)</f>
        <v>251 - 500</v>
      </c>
      <c r="H204" s="37">
        <v>300.0</v>
      </c>
      <c r="I204" s="37">
        <v>9.0</v>
      </c>
      <c r="J204" s="38">
        <v>4.4510098E7</v>
      </c>
      <c r="K204" s="38">
        <v>2.97E7</v>
      </c>
      <c r="L204" s="40">
        <f>VLOOKUP($A204,'Dataset '!$A:$I,5,0)</f>
        <v>45252</v>
      </c>
      <c r="M204" s="25" t="s">
        <v>2110</v>
      </c>
      <c r="N204" s="38">
        <f t="shared" si="3"/>
        <v>99000</v>
      </c>
      <c r="O204" s="38">
        <f t="shared" ref="O204:P204" si="208">J204/I204</f>
        <v>4945566.444</v>
      </c>
      <c r="P204" s="41">
        <f t="shared" si="208"/>
        <v>0.6672643138</v>
      </c>
      <c r="Q204" s="37">
        <v>68.0</v>
      </c>
      <c r="R204" s="37">
        <v>0.0</v>
      </c>
      <c r="S204" s="37">
        <v>1.0</v>
      </c>
      <c r="T204" s="37">
        <v>6.0</v>
      </c>
      <c r="U204" s="37">
        <v>3.0</v>
      </c>
      <c r="V204" s="37">
        <v>6.0</v>
      </c>
      <c r="W204" s="25" t="s">
        <v>558</v>
      </c>
    </row>
    <row r="205">
      <c r="A205" s="25" t="s">
        <v>1587</v>
      </c>
      <c r="B205" s="25" t="s">
        <v>48</v>
      </c>
      <c r="C205" s="36" t="s">
        <v>1592</v>
      </c>
      <c r="D205" s="37">
        <v>2017.0</v>
      </c>
      <c r="E205" s="38" t="s">
        <v>1588</v>
      </c>
      <c r="F205" s="38" t="s">
        <v>38</v>
      </c>
      <c r="G205" s="39" t="str">
        <f>VLOOKUP(A205,'Dataset '!A:I,9,0)</f>
        <v>251 - 500</v>
      </c>
      <c r="H205" s="37">
        <v>340.0</v>
      </c>
      <c r="I205" s="37">
        <v>8.0</v>
      </c>
      <c r="J205" s="38">
        <v>1.314E8</v>
      </c>
      <c r="K205" s="38">
        <v>5400000.0</v>
      </c>
      <c r="L205" s="40">
        <f>VLOOKUP($A205,'Dataset '!$A:$I,5,0)</f>
        <v>45714</v>
      </c>
      <c r="M205" s="25" t="s">
        <v>2111</v>
      </c>
      <c r="N205" s="38">
        <f t="shared" si="3"/>
        <v>15882.35294</v>
      </c>
      <c r="O205" s="38">
        <f t="shared" ref="O205:P205" si="209">J205/I205</f>
        <v>16425000</v>
      </c>
      <c r="P205" s="41">
        <f t="shared" si="209"/>
        <v>0.04109589041</v>
      </c>
      <c r="Q205" s="37">
        <v>13.0</v>
      </c>
      <c r="R205" s="37">
        <v>1.0</v>
      </c>
      <c r="S205" s="37">
        <v>1.0</v>
      </c>
      <c r="T205" s="37">
        <v>3.0</v>
      </c>
      <c r="U205" s="37">
        <v>0.0</v>
      </c>
      <c r="V205" s="37">
        <v>1.0</v>
      </c>
      <c r="W205" s="25" t="s">
        <v>595</v>
      </c>
    </row>
    <row r="206">
      <c r="A206" s="25" t="s">
        <v>1695</v>
      </c>
      <c r="B206" s="25" t="s">
        <v>48</v>
      </c>
      <c r="C206" s="36" t="s">
        <v>1699</v>
      </c>
      <c r="D206" s="37">
        <v>2020.0</v>
      </c>
      <c r="E206" s="38" t="s">
        <v>1696</v>
      </c>
      <c r="F206" s="38" t="s">
        <v>38</v>
      </c>
      <c r="G206" s="39" t="str">
        <f>VLOOKUP(A206,'Dataset '!A:I,9,0)</f>
        <v>251 - 500</v>
      </c>
      <c r="H206" s="37">
        <v>490.0</v>
      </c>
      <c r="I206" s="37">
        <v>5.0</v>
      </c>
      <c r="J206" s="38">
        <v>3.2015327E7</v>
      </c>
      <c r="K206" s="38">
        <v>6300000.0</v>
      </c>
      <c r="L206" s="40">
        <f>VLOOKUP($A206,'Dataset '!$A:$I,5,0)</f>
        <v>45908</v>
      </c>
      <c r="M206" s="25" t="s">
        <v>2112</v>
      </c>
      <c r="N206" s="38">
        <f t="shared" si="3"/>
        <v>12857.14286</v>
      </c>
      <c r="O206" s="38">
        <f t="shared" ref="O206:P206" si="210">J206/I206</f>
        <v>6403065.4</v>
      </c>
      <c r="P206" s="41">
        <f t="shared" si="210"/>
        <v>0.1967807482</v>
      </c>
      <c r="Q206" s="37">
        <v>47.0</v>
      </c>
      <c r="R206" s="37">
        <v>0.0</v>
      </c>
      <c r="S206" s="37">
        <v>8.0</v>
      </c>
      <c r="T206" s="37">
        <v>1.0</v>
      </c>
      <c r="U206" s="37">
        <v>3.0</v>
      </c>
      <c r="V206" s="37">
        <v>4.0</v>
      </c>
      <c r="W206" s="25" t="s">
        <v>558</v>
      </c>
    </row>
    <row r="207">
      <c r="A207" s="25" t="s">
        <v>1868</v>
      </c>
      <c r="B207" s="25" t="s">
        <v>48</v>
      </c>
      <c r="C207" s="36" t="s">
        <v>1897</v>
      </c>
      <c r="D207" s="37">
        <v>2022.0</v>
      </c>
      <c r="E207" s="38" t="s">
        <v>1869</v>
      </c>
      <c r="F207" s="38" t="s">
        <v>76</v>
      </c>
      <c r="G207" s="39" t="str">
        <f>VLOOKUP(A207,'Dataset '!A:I,9,0)</f>
        <v>11 - 50</v>
      </c>
      <c r="H207" s="37">
        <v>37.0</v>
      </c>
      <c r="I207" s="37">
        <v>3.0</v>
      </c>
      <c r="J207" s="38">
        <v>5.472E7</v>
      </c>
      <c r="K207" s="38">
        <v>1.44E7</v>
      </c>
      <c r="L207" s="40">
        <f>VLOOKUP($A207,'Dataset '!$A:$I,5,0)</f>
        <v>45810</v>
      </c>
      <c r="M207" s="25" t="s">
        <v>2113</v>
      </c>
      <c r="N207" s="38">
        <f t="shared" si="3"/>
        <v>389189.1892</v>
      </c>
      <c r="O207" s="38">
        <f t="shared" ref="O207:P207" si="211">J207/I207</f>
        <v>18240000</v>
      </c>
      <c r="P207" s="41">
        <f t="shared" si="211"/>
        <v>0.2631578947</v>
      </c>
      <c r="Q207" s="37">
        <v>20.0</v>
      </c>
      <c r="R207" s="37">
        <v>1.0</v>
      </c>
      <c r="S207" s="37">
        <v>1.0</v>
      </c>
      <c r="T207" s="37">
        <v>2.0</v>
      </c>
      <c r="U207" s="37">
        <v>1.0</v>
      </c>
      <c r="V207" s="37">
        <v>1.0</v>
      </c>
      <c r="W207" s="25" t="s">
        <v>569</v>
      </c>
    </row>
    <row r="208">
      <c r="A208" s="25" t="s">
        <v>727</v>
      </c>
      <c r="B208" s="25" t="s">
        <v>48</v>
      </c>
      <c r="C208" s="36" t="s">
        <v>1139</v>
      </c>
      <c r="D208" s="37">
        <v>2021.0</v>
      </c>
      <c r="E208" s="38" t="s">
        <v>728</v>
      </c>
      <c r="F208" s="38" t="s">
        <v>76</v>
      </c>
      <c r="G208" s="39" t="str">
        <f>VLOOKUP(A208,'Dataset '!A:I,9,0)</f>
        <v>501 - 1000</v>
      </c>
      <c r="H208" s="37">
        <v>650.0</v>
      </c>
      <c r="I208" s="37">
        <v>4.0</v>
      </c>
      <c r="J208" s="38">
        <v>5.642156E7</v>
      </c>
      <c r="K208" s="38">
        <v>1.0E7</v>
      </c>
      <c r="L208" s="40">
        <f>VLOOKUP($A208,'Dataset '!$A:$I,5,0)</f>
        <v>45988</v>
      </c>
      <c r="M208" s="38">
        <f t="shared" ref="M208:M214" si="213">J208/H208</f>
        <v>86802.4</v>
      </c>
      <c r="N208" s="38">
        <f t="shared" si="3"/>
        <v>15384.61538</v>
      </c>
      <c r="O208" s="38">
        <f t="shared" ref="O208:P208" si="212">J208/I208</f>
        <v>14105390</v>
      </c>
      <c r="P208" s="41">
        <f t="shared" si="212"/>
        <v>0.1772372122</v>
      </c>
      <c r="Q208" s="37">
        <v>54.0</v>
      </c>
      <c r="R208" s="37">
        <v>1.0</v>
      </c>
      <c r="S208" s="37">
        <v>0.0</v>
      </c>
      <c r="T208" s="37">
        <v>2.0</v>
      </c>
      <c r="U208" s="37">
        <v>2.0</v>
      </c>
      <c r="V208" s="37">
        <v>3.0</v>
      </c>
      <c r="W208" s="25" t="s">
        <v>558</v>
      </c>
    </row>
    <row r="209">
      <c r="A209" s="25" t="s">
        <v>751</v>
      </c>
      <c r="B209" s="25" t="s">
        <v>48</v>
      </c>
      <c r="C209" s="36" t="s">
        <v>1176</v>
      </c>
      <c r="D209" s="37">
        <v>2018.0</v>
      </c>
      <c r="E209" s="38" t="s">
        <v>754</v>
      </c>
      <c r="F209" s="38" t="s">
        <v>752</v>
      </c>
      <c r="G209" s="39" t="str">
        <f>VLOOKUP(A209,'Dataset '!A:I,9,0)</f>
        <v>1000 - 5000</v>
      </c>
      <c r="H209" s="37">
        <v>1300.0</v>
      </c>
      <c r="I209" s="37">
        <v>7.0</v>
      </c>
      <c r="J209" s="38">
        <v>1.3E8</v>
      </c>
      <c r="K209" s="38">
        <v>1.0E8</v>
      </c>
      <c r="L209" s="40">
        <f>VLOOKUP($A209,'Dataset '!$A:$I,5,0)</f>
        <v>44629</v>
      </c>
      <c r="M209" s="38">
        <f t="shared" si="213"/>
        <v>100000</v>
      </c>
      <c r="N209" s="38">
        <f t="shared" si="3"/>
        <v>76923.07692</v>
      </c>
      <c r="O209" s="38">
        <f t="shared" ref="O209:P209" si="214">J209/I209</f>
        <v>18571428.57</v>
      </c>
      <c r="P209" s="41">
        <f t="shared" si="214"/>
        <v>0.7692307692</v>
      </c>
      <c r="Q209" s="37">
        <v>76.0</v>
      </c>
      <c r="R209" s="37">
        <v>2.0</v>
      </c>
      <c r="S209" s="37">
        <v>2.0</v>
      </c>
      <c r="T209" s="37">
        <v>10.0</v>
      </c>
      <c r="U209" s="37">
        <v>5.0</v>
      </c>
      <c r="V209" s="37">
        <v>7.0</v>
      </c>
      <c r="W209" s="25" t="s">
        <v>558</v>
      </c>
    </row>
    <row r="210">
      <c r="A210" s="25" t="s">
        <v>764</v>
      </c>
      <c r="B210" s="25" t="s">
        <v>48</v>
      </c>
      <c r="C210" s="36" t="s">
        <v>1192</v>
      </c>
      <c r="D210" s="37">
        <v>2016.0</v>
      </c>
      <c r="E210" s="38" t="s">
        <v>765</v>
      </c>
      <c r="F210" s="38" t="s">
        <v>289</v>
      </c>
      <c r="G210" s="39" t="str">
        <f>VLOOKUP(A210,'Dataset '!A:I,9,0)</f>
        <v>501 - 1000</v>
      </c>
      <c r="H210" s="37">
        <v>580.0</v>
      </c>
      <c r="I210" s="37">
        <v>9.0</v>
      </c>
      <c r="J210" s="38">
        <v>1.18E8</v>
      </c>
      <c r="K210" s="38">
        <v>1.08E8</v>
      </c>
      <c r="L210" s="40">
        <f>VLOOKUP($A210,'Dataset '!$A:$I,5,0)</f>
        <v>44488</v>
      </c>
      <c r="M210" s="38">
        <f t="shared" si="213"/>
        <v>203448.2759</v>
      </c>
      <c r="N210" s="38">
        <f t="shared" si="3"/>
        <v>186206.8966</v>
      </c>
      <c r="O210" s="38">
        <f t="shared" ref="O210:P210" si="215">J210/I210</f>
        <v>13111111.11</v>
      </c>
      <c r="P210" s="41">
        <f t="shared" si="215"/>
        <v>0.9152542373</v>
      </c>
      <c r="Q210" s="37">
        <v>72.0</v>
      </c>
      <c r="R210" s="37">
        <v>1.0</v>
      </c>
      <c r="S210" s="37">
        <v>8.0</v>
      </c>
      <c r="T210" s="37">
        <v>11.0</v>
      </c>
      <c r="U210" s="37">
        <v>0.0</v>
      </c>
      <c r="V210" s="37">
        <v>0.0</v>
      </c>
      <c r="W210" s="25" t="s">
        <v>558</v>
      </c>
    </row>
    <row r="211">
      <c r="A211" s="25" t="s">
        <v>851</v>
      </c>
      <c r="B211" s="25" t="s">
        <v>48</v>
      </c>
      <c r="C211" s="36" t="s">
        <v>2114</v>
      </c>
      <c r="D211" s="37">
        <v>2015.0</v>
      </c>
      <c r="E211" s="38" t="s">
        <v>852</v>
      </c>
      <c r="F211" s="38" t="s">
        <v>565</v>
      </c>
      <c r="G211" s="39" t="str">
        <f>VLOOKUP(A211,'Dataset '!A:I,9,0)</f>
        <v>501 - 1000</v>
      </c>
      <c r="H211" s="37">
        <v>850.0</v>
      </c>
      <c r="I211" s="37">
        <v>10.0</v>
      </c>
      <c r="J211" s="38">
        <v>3.22485E8</v>
      </c>
      <c r="K211" s="38">
        <v>1.86E8</v>
      </c>
      <c r="L211" s="40">
        <f>VLOOKUP($A211,'Dataset '!$A:$I,5,0)</f>
        <v>44545</v>
      </c>
      <c r="M211" s="38">
        <f t="shared" si="213"/>
        <v>379394.1176</v>
      </c>
      <c r="N211" s="38">
        <f t="shared" si="3"/>
        <v>218823.5294</v>
      </c>
      <c r="O211" s="38">
        <f t="shared" ref="O211:P211" si="216">J211/I211</f>
        <v>32248500</v>
      </c>
      <c r="P211" s="41">
        <f t="shared" si="216"/>
        <v>0.5767710126</v>
      </c>
      <c r="Q211" s="37">
        <v>42.0</v>
      </c>
      <c r="R211" s="37">
        <v>1.0</v>
      </c>
      <c r="S211" s="37">
        <v>0.0</v>
      </c>
      <c r="T211" s="37">
        <v>2.0</v>
      </c>
      <c r="U211" s="37">
        <v>3.0</v>
      </c>
      <c r="V211" s="37">
        <v>4.0</v>
      </c>
      <c r="W211" s="25" t="s">
        <v>569</v>
      </c>
    </row>
    <row r="212">
      <c r="A212" s="25" t="s">
        <v>892</v>
      </c>
      <c r="B212" s="25" t="s">
        <v>52</v>
      </c>
      <c r="C212" s="36" t="s">
        <v>2115</v>
      </c>
      <c r="D212" s="37">
        <v>2013.0</v>
      </c>
      <c r="E212" s="38" t="s">
        <v>893</v>
      </c>
      <c r="F212" s="38" t="s">
        <v>38</v>
      </c>
      <c r="G212" s="39" t="str">
        <f>VLOOKUP(A212,'Dataset '!A:I,9,0)</f>
        <v>501 - 1000</v>
      </c>
      <c r="H212" s="37">
        <v>710.0</v>
      </c>
      <c r="I212" s="37">
        <v>12.0</v>
      </c>
      <c r="J212" s="38">
        <v>1.12180004E8</v>
      </c>
      <c r="K212" s="38">
        <v>2.1E7</v>
      </c>
      <c r="L212" s="40">
        <f>VLOOKUP($A212,'Dataset '!$A:$I,5,0)</f>
        <v>45281</v>
      </c>
      <c r="M212" s="38">
        <f t="shared" si="213"/>
        <v>158000.0056</v>
      </c>
      <c r="N212" s="38">
        <f t="shared" si="3"/>
        <v>29577.46479</v>
      </c>
      <c r="O212" s="38">
        <f t="shared" ref="O212:P212" si="217">J212/I212</f>
        <v>9348333.667</v>
      </c>
      <c r="P212" s="41">
        <f t="shared" si="217"/>
        <v>0.1871991376</v>
      </c>
      <c r="Q212" s="37">
        <v>51.0</v>
      </c>
      <c r="R212" s="37">
        <v>1.0</v>
      </c>
      <c r="S212" s="37">
        <v>2.0</v>
      </c>
      <c r="T212" s="37">
        <v>5.0</v>
      </c>
      <c r="U212" s="37">
        <v>2.0</v>
      </c>
      <c r="V212" s="37">
        <v>8.0</v>
      </c>
      <c r="W212" s="25" t="s">
        <v>569</v>
      </c>
    </row>
    <row r="213">
      <c r="A213" s="25" t="s">
        <v>901</v>
      </c>
      <c r="B213" s="25" t="s">
        <v>48</v>
      </c>
      <c r="C213" s="36" t="s">
        <v>2116</v>
      </c>
      <c r="D213" s="37">
        <v>2010.0</v>
      </c>
      <c r="E213" s="38" t="s">
        <v>902</v>
      </c>
      <c r="F213" s="38" t="s">
        <v>38</v>
      </c>
      <c r="G213" s="39" t="str">
        <f>VLOOKUP(A213,'Dataset '!A:I,9,0)</f>
        <v>501 - 1000</v>
      </c>
      <c r="H213" s="37">
        <v>710.0</v>
      </c>
      <c r="I213" s="37">
        <v>15.0</v>
      </c>
      <c r="J213" s="38">
        <v>2.67035624E8</v>
      </c>
      <c r="K213" s="38">
        <v>2.3E7</v>
      </c>
      <c r="L213" s="40">
        <f>VLOOKUP($A213,'Dataset '!$A:$I,5,0)</f>
        <v>45264</v>
      </c>
      <c r="M213" s="38">
        <f t="shared" si="213"/>
        <v>376106.5127</v>
      </c>
      <c r="N213" s="38">
        <f t="shared" si="3"/>
        <v>32394.3662</v>
      </c>
      <c r="O213" s="38">
        <f t="shared" ref="O213:P213" si="218">J213/I213</f>
        <v>17802374.93</v>
      </c>
      <c r="P213" s="41">
        <f t="shared" si="218"/>
        <v>0.08613083024</v>
      </c>
      <c r="Q213" s="37">
        <v>61.0</v>
      </c>
      <c r="R213" s="37">
        <v>0.0</v>
      </c>
      <c r="S213" s="37">
        <v>0.0</v>
      </c>
      <c r="T213" s="37">
        <v>5.0</v>
      </c>
      <c r="U213" s="37">
        <v>1.0</v>
      </c>
      <c r="V213" s="37">
        <v>6.0</v>
      </c>
      <c r="W213" s="25" t="s">
        <v>595</v>
      </c>
    </row>
    <row r="214">
      <c r="A214" s="25" t="s">
        <v>918</v>
      </c>
      <c r="B214" s="25" t="s">
        <v>48</v>
      </c>
      <c r="C214" s="36" t="s">
        <v>2117</v>
      </c>
      <c r="D214" s="37">
        <v>2016.0</v>
      </c>
      <c r="E214" s="38" t="s">
        <v>920</v>
      </c>
      <c r="F214" s="38" t="s">
        <v>565</v>
      </c>
      <c r="G214" s="39" t="str">
        <f>VLOOKUP(A214,'Dataset '!A:I,9,0)</f>
        <v>501 - 1000</v>
      </c>
      <c r="H214" s="37">
        <v>1900.0</v>
      </c>
      <c r="I214" s="37">
        <v>9.0</v>
      </c>
      <c r="J214" s="38">
        <v>8.45670734E8</v>
      </c>
      <c r="K214" s="38">
        <v>2.5E7</v>
      </c>
      <c r="L214" s="40">
        <f>VLOOKUP($A214,'Dataset '!$A:$I,5,0)</f>
        <v>45848</v>
      </c>
      <c r="M214" s="38">
        <f t="shared" si="213"/>
        <v>445089.86</v>
      </c>
      <c r="N214" s="38">
        <f t="shared" si="3"/>
        <v>13157.89474</v>
      </c>
      <c r="O214" s="38">
        <f t="shared" ref="O214:P214" si="219">J214/I214</f>
        <v>93963414.89</v>
      </c>
      <c r="P214" s="41">
        <f t="shared" si="219"/>
        <v>0.02956233318</v>
      </c>
      <c r="Q214" s="37">
        <v>55.0</v>
      </c>
      <c r="R214" s="37">
        <v>1.0</v>
      </c>
      <c r="S214" s="37">
        <v>2.0</v>
      </c>
      <c r="T214" s="37">
        <v>7.0</v>
      </c>
      <c r="U214" s="37">
        <v>2.0</v>
      </c>
      <c r="V214" s="37">
        <v>4.0</v>
      </c>
      <c r="W214" s="25" t="s">
        <v>595</v>
      </c>
    </row>
    <row r="215">
      <c r="A215" s="25" t="s">
        <v>1014</v>
      </c>
      <c r="B215" s="25" t="s">
        <v>48</v>
      </c>
      <c r="C215" s="36" t="s">
        <v>1471</v>
      </c>
      <c r="D215" s="37">
        <v>2020.0</v>
      </c>
      <c r="E215" s="38" t="s">
        <v>541</v>
      </c>
      <c r="F215" s="38" t="s">
        <v>289</v>
      </c>
      <c r="G215" s="39" t="str">
        <f>VLOOKUP(A215,'Dataset '!A:I,9,0)</f>
        <v>501 - 1000</v>
      </c>
      <c r="H215" s="37">
        <v>290.0</v>
      </c>
      <c r="I215" s="37">
        <v>5.0</v>
      </c>
      <c r="J215" s="38">
        <v>4.876667E7</v>
      </c>
      <c r="K215" s="38">
        <v>3.05E7</v>
      </c>
      <c r="L215" s="40">
        <f>VLOOKUP($A215,'Dataset '!$A:$I,5,0)</f>
        <v>45707</v>
      </c>
      <c r="M215" s="25" t="s">
        <v>2118</v>
      </c>
      <c r="N215" s="38">
        <f t="shared" si="3"/>
        <v>105172.4138</v>
      </c>
      <c r="O215" s="38">
        <f t="shared" ref="O215:P215" si="220">J215/I215</f>
        <v>9753334</v>
      </c>
      <c r="P215" s="41">
        <f t="shared" si="220"/>
        <v>0.6254271616</v>
      </c>
      <c r="Q215" s="37">
        <v>41.0</v>
      </c>
      <c r="R215" s="37">
        <v>1.0</v>
      </c>
      <c r="S215" s="37">
        <v>1.0</v>
      </c>
      <c r="T215" s="37">
        <v>7.0</v>
      </c>
      <c r="U215" s="37">
        <v>2.0</v>
      </c>
      <c r="V215" s="37">
        <v>2.0</v>
      </c>
      <c r="W215" s="25" t="s">
        <v>595</v>
      </c>
    </row>
    <row r="216">
      <c r="A216" s="25" t="s">
        <v>1187</v>
      </c>
      <c r="B216" s="25" t="s">
        <v>52</v>
      </c>
      <c r="C216" s="36" t="s">
        <v>1654</v>
      </c>
      <c r="D216" s="37">
        <v>2011.0</v>
      </c>
      <c r="E216" s="38" t="s">
        <v>1188</v>
      </c>
      <c r="F216" s="38" t="s">
        <v>565</v>
      </c>
      <c r="G216" s="39" t="str">
        <f>VLOOKUP(A216,'Dataset '!A:I,9,0)</f>
        <v>501 - 1000</v>
      </c>
      <c r="H216" s="37">
        <v>600.0</v>
      </c>
      <c r="I216" s="37">
        <v>14.0</v>
      </c>
      <c r="J216" s="38">
        <v>3.52465392E8</v>
      </c>
      <c r="K216" s="38">
        <v>7.5E7</v>
      </c>
      <c r="L216" s="40">
        <f>VLOOKUP($A216,'Dataset '!$A:$I,5,0)</f>
        <v>45932</v>
      </c>
      <c r="M216" s="25" t="s">
        <v>2119</v>
      </c>
      <c r="N216" s="38">
        <f t="shared" si="3"/>
        <v>125000</v>
      </c>
      <c r="O216" s="38">
        <f t="shared" ref="O216:P216" si="221">J216/I216</f>
        <v>25176099.43</v>
      </c>
      <c r="P216" s="41">
        <f t="shared" si="221"/>
        <v>0.2127868486</v>
      </c>
      <c r="Q216" s="37">
        <v>65.0</v>
      </c>
      <c r="R216" s="37">
        <v>1.0</v>
      </c>
      <c r="S216" s="37">
        <v>4.0</v>
      </c>
      <c r="T216" s="37">
        <v>7.0</v>
      </c>
      <c r="U216" s="37">
        <v>2.0</v>
      </c>
      <c r="V216" s="37">
        <v>5.0</v>
      </c>
      <c r="W216" s="25" t="s">
        <v>558</v>
      </c>
    </row>
    <row r="217">
      <c r="A217" s="25" t="s">
        <v>1218</v>
      </c>
      <c r="B217" s="25" t="s">
        <v>48</v>
      </c>
      <c r="C217" s="36" t="s">
        <v>1690</v>
      </c>
      <c r="D217" s="37">
        <v>2008.0</v>
      </c>
      <c r="E217" s="38" t="s">
        <v>1219</v>
      </c>
      <c r="F217" s="38" t="s">
        <v>38</v>
      </c>
      <c r="G217" s="39" t="str">
        <f>VLOOKUP(A217,'Dataset '!A:I,9,0)</f>
        <v>501 - 1000</v>
      </c>
      <c r="H217" s="37">
        <v>720.0</v>
      </c>
      <c r="I217" s="37">
        <v>17.0</v>
      </c>
      <c r="J217" s="38">
        <v>1.28049406E8</v>
      </c>
      <c r="K217" s="38">
        <v>8.6100826E7</v>
      </c>
      <c r="L217" s="40">
        <f>VLOOKUP($A217,'Dataset '!$A:$I,5,0)</f>
        <v>45229</v>
      </c>
      <c r="M217" s="25" t="s">
        <v>2120</v>
      </c>
      <c r="N217" s="38">
        <f t="shared" si="3"/>
        <v>119584.4806</v>
      </c>
      <c r="O217" s="38">
        <f t="shared" ref="O217:P217" si="222">J217/I217</f>
        <v>7532318</v>
      </c>
      <c r="P217" s="41">
        <f t="shared" si="222"/>
        <v>0.672403166</v>
      </c>
      <c r="Q217" s="37">
        <v>48.0</v>
      </c>
      <c r="R217" s="37">
        <v>3.0</v>
      </c>
      <c r="S217" s="37">
        <v>0.0</v>
      </c>
      <c r="T217" s="37">
        <v>3.0</v>
      </c>
      <c r="U217" s="37">
        <v>3.0</v>
      </c>
      <c r="V217" s="37">
        <v>2.0</v>
      </c>
      <c r="W217" s="25" t="s">
        <v>558</v>
      </c>
    </row>
    <row r="218">
      <c r="A218" s="25" t="s">
        <v>1243</v>
      </c>
      <c r="B218" s="25" t="s">
        <v>52</v>
      </c>
      <c r="C218" s="36" t="s">
        <v>1719</v>
      </c>
      <c r="D218" s="37">
        <v>2001.0</v>
      </c>
      <c r="E218" s="38" t="s">
        <v>1246</v>
      </c>
      <c r="F218" s="38" t="s">
        <v>38</v>
      </c>
      <c r="G218" s="39" t="str">
        <f>VLOOKUP(A218,'Dataset '!A:I,9,0)</f>
        <v>501 - 1000</v>
      </c>
      <c r="H218" s="37">
        <v>780.0</v>
      </c>
      <c r="I218" s="37">
        <v>24.0</v>
      </c>
      <c r="J218" s="38">
        <v>6.30669891E8</v>
      </c>
      <c r="K218" s="38">
        <v>5.08E8</v>
      </c>
      <c r="L218" s="40">
        <f>VLOOKUP($A218,'Dataset '!$A:$I,5,0)</f>
        <v>45783</v>
      </c>
      <c r="M218" s="25" t="s">
        <v>2121</v>
      </c>
      <c r="N218" s="38">
        <f t="shared" si="3"/>
        <v>651282.0513</v>
      </c>
      <c r="O218" s="38">
        <f t="shared" ref="O218:P218" si="223">J218/I218</f>
        <v>26277912.13</v>
      </c>
      <c r="P218" s="41">
        <f t="shared" si="223"/>
        <v>0.8054927106</v>
      </c>
      <c r="Q218" s="37">
        <v>98.0</v>
      </c>
      <c r="R218" s="37">
        <v>1.0</v>
      </c>
      <c r="S218" s="37">
        <v>7.0</v>
      </c>
      <c r="T218" s="37">
        <v>8.0</v>
      </c>
      <c r="U218" s="37">
        <v>1.0</v>
      </c>
      <c r="V218" s="37">
        <v>0.0</v>
      </c>
      <c r="W218" s="25" t="s">
        <v>558</v>
      </c>
    </row>
    <row r="219">
      <c r="A219" s="25" t="s">
        <v>1644</v>
      </c>
      <c r="B219" s="25" t="s">
        <v>48</v>
      </c>
      <c r="C219" s="36" t="s">
        <v>1740</v>
      </c>
      <c r="D219" s="37">
        <v>2024.0</v>
      </c>
      <c r="E219" s="38" t="s">
        <v>1645</v>
      </c>
      <c r="F219" s="38" t="s">
        <v>289</v>
      </c>
      <c r="G219" s="39" t="str">
        <f>VLOOKUP(A219,'Dataset '!A:I,9,0)</f>
        <v>501 - 1000</v>
      </c>
      <c r="H219" s="37">
        <v>630.0</v>
      </c>
      <c r="I219" s="37">
        <v>1.0</v>
      </c>
      <c r="J219" s="38">
        <v>2.16E7</v>
      </c>
      <c r="K219" s="38">
        <v>7740000.0</v>
      </c>
      <c r="L219" s="40">
        <f>VLOOKUP($A219,'Dataset '!$A:$I,5,0)</f>
        <v>45638</v>
      </c>
      <c r="M219" s="25" t="s">
        <v>2122</v>
      </c>
      <c r="N219" s="38">
        <f t="shared" si="3"/>
        <v>12285.71429</v>
      </c>
      <c r="O219" s="38">
        <f t="shared" ref="O219:P219" si="224">J219/I219</f>
        <v>21600000</v>
      </c>
      <c r="P219" s="41">
        <f t="shared" si="224"/>
        <v>0.3583333333</v>
      </c>
      <c r="Q219" s="37">
        <v>54.0</v>
      </c>
      <c r="R219" s="37">
        <v>0.0</v>
      </c>
      <c r="S219" s="37">
        <v>6.0</v>
      </c>
      <c r="T219" s="37">
        <v>9.0</v>
      </c>
      <c r="U219" s="37">
        <v>2.0</v>
      </c>
      <c r="V219" s="37">
        <v>2.0</v>
      </c>
      <c r="W219" s="25" t="s">
        <v>558</v>
      </c>
    </row>
    <row r="220">
      <c r="A220" s="25" t="s">
        <v>779</v>
      </c>
      <c r="B220" s="25" t="s">
        <v>48</v>
      </c>
      <c r="C220" s="36" t="s">
        <v>784</v>
      </c>
      <c r="D220" s="37">
        <v>2017.0</v>
      </c>
      <c r="E220" s="38" t="s">
        <v>780</v>
      </c>
      <c r="F220" s="38" t="s">
        <v>59</v>
      </c>
      <c r="G220" s="39" t="str">
        <f>VLOOKUP(A220,'Dataset '!A:I,9,0)</f>
        <v>501 - 1000</v>
      </c>
      <c r="H220" s="37">
        <v>630.0</v>
      </c>
      <c r="I220" s="37">
        <v>8.0</v>
      </c>
      <c r="J220" s="38">
        <v>720000.0</v>
      </c>
      <c r="K220" s="38">
        <v>720000.0</v>
      </c>
      <c r="L220" s="40">
        <f>VLOOKUP($A220,'Dataset '!$A:$I,5,0)</f>
        <v>43993</v>
      </c>
      <c r="M220" s="25" t="s">
        <v>2123</v>
      </c>
      <c r="N220" s="38">
        <f t="shared" si="3"/>
        <v>1142.857143</v>
      </c>
      <c r="O220" s="38">
        <f t="shared" ref="O220:P220" si="225">J220/I220</f>
        <v>90000</v>
      </c>
      <c r="P220" s="41">
        <f t="shared" si="225"/>
        <v>1</v>
      </c>
      <c r="Q220" s="37">
        <v>47.0</v>
      </c>
      <c r="R220" s="37">
        <v>0.0</v>
      </c>
      <c r="S220" s="37">
        <v>3.0</v>
      </c>
      <c r="T220" s="37">
        <v>4.0</v>
      </c>
      <c r="U220" s="37">
        <v>2.0</v>
      </c>
      <c r="V220" s="37">
        <v>5.0</v>
      </c>
      <c r="W220" s="25" t="s">
        <v>550</v>
      </c>
    </row>
    <row r="221">
      <c r="A221" s="25" t="s">
        <v>1741</v>
      </c>
      <c r="B221" s="25" t="s">
        <v>48</v>
      </c>
      <c r="C221" s="36" t="s">
        <v>1946</v>
      </c>
      <c r="D221" s="37">
        <v>2013.0</v>
      </c>
      <c r="E221" s="38" t="s">
        <v>1742</v>
      </c>
      <c r="F221" s="38" t="s">
        <v>752</v>
      </c>
      <c r="G221" s="39" t="str">
        <f>VLOOKUP(A221,'Dataset '!A:I,9,0)</f>
        <v>501 - 1000</v>
      </c>
      <c r="H221" s="37">
        <v>750.0</v>
      </c>
      <c r="I221" s="37">
        <v>12.0</v>
      </c>
      <c r="J221" s="38">
        <v>5.0138661E7</v>
      </c>
      <c r="K221" s="38">
        <v>2.6316E7</v>
      </c>
      <c r="L221" s="40">
        <f>VLOOKUP($A221,'Dataset '!$A:$I,5,0)</f>
        <v>44329</v>
      </c>
      <c r="M221" s="25" t="s">
        <v>2124</v>
      </c>
      <c r="N221" s="38">
        <f t="shared" si="3"/>
        <v>35088</v>
      </c>
      <c r="O221" s="38">
        <f t="shared" ref="O221:P221" si="226">J221/I221</f>
        <v>4178221.75</v>
      </c>
      <c r="P221" s="41">
        <f t="shared" si="226"/>
        <v>0.5248644355</v>
      </c>
      <c r="Q221" s="37">
        <v>25.0</v>
      </c>
      <c r="R221" s="37">
        <v>0.0</v>
      </c>
      <c r="S221" s="37">
        <v>0.0</v>
      </c>
      <c r="T221" s="37">
        <v>2.0</v>
      </c>
      <c r="U221" s="37">
        <v>1.0</v>
      </c>
      <c r="V221" s="37">
        <v>0.0</v>
      </c>
      <c r="W221" s="25" t="s">
        <v>558</v>
      </c>
    </row>
    <row r="222">
      <c r="A222" s="25" t="s">
        <v>1806</v>
      </c>
      <c r="B222" s="25" t="s">
        <v>48</v>
      </c>
      <c r="C222" s="36" t="s">
        <v>1966</v>
      </c>
      <c r="D222" s="37">
        <v>2007.0</v>
      </c>
      <c r="E222" s="38" t="s">
        <v>1807</v>
      </c>
      <c r="F222" s="38" t="s">
        <v>391</v>
      </c>
      <c r="G222" s="39" t="str">
        <f>VLOOKUP(A222,'Dataset '!A:I,9,0)</f>
        <v>501 - 1000</v>
      </c>
      <c r="H222" s="37">
        <v>880.0</v>
      </c>
      <c r="I222" s="37">
        <v>18.0</v>
      </c>
      <c r="J222" s="38">
        <v>1.98811142E8</v>
      </c>
      <c r="K222" s="38">
        <v>5.4E7</v>
      </c>
      <c r="L222" s="40">
        <f>VLOOKUP($A222,'Dataset '!$A:$I,5,0)</f>
        <v>45730</v>
      </c>
      <c r="M222" s="25" t="s">
        <v>2125</v>
      </c>
      <c r="N222" s="38">
        <f t="shared" si="3"/>
        <v>61363.63636</v>
      </c>
      <c r="O222" s="38">
        <f t="shared" ref="O222:P222" si="227">J222/I222</f>
        <v>11045063.44</v>
      </c>
      <c r="P222" s="41">
        <f t="shared" si="227"/>
        <v>0.2716145557</v>
      </c>
      <c r="Q222" s="37">
        <v>17.0</v>
      </c>
      <c r="R222" s="37">
        <v>3.0</v>
      </c>
      <c r="S222" s="37">
        <v>0.0</v>
      </c>
      <c r="T222" s="37">
        <v>1.0</v>
      </c>
      <c r="U222" s="37">
        <v>2.0</v>
      </c>
      <c r="V222" s="37">
        <v>3.0</v>
      </c>
      <c r="W222" s="25" t="s">
        <v>558</v>
      </c>
    </row>
    <row r="223">
      <c r="A223" s="25" t="s">
        <v>1838</v>
      </c>
      <c r="B223" s="25" t="s">
        <v>48</v>
      </c>
      <c r="C223" s="36" t="s">
        <v>1973</v>
      </c>
      <c r="D223" s="37">
        <v>2011.0</v>
      </c>
      <c r="E223" s="38" t="s">
        <v>1839</v>
      </c>
      <c r="F223" s="38" t="s">
        <v>565</v>
      </c>
      <c r="G223" s="39" t="str">
        <f>VLOOKUP(A223,'Dataset '!A:I,9,0)</f>
        <v>501 - 1000</v>
      </c>
      <c r="H223" s="37">
        <v>810.0</v>
      </c>
      <c r="I223" s="37">
        <v>14.0</v>
      </c>
      <c r="J223" s="38">
        <v>1.30613111E8</v>
      </c>
      <c r="K223" s="38">
        <v>8.1E7</v>
      </c>
      <c r="L223" s="40">
        <f>VLOOKUP($A223,'Dataset '!$A:$I,5,0)</f>
        <v>44245</v>
      </c>
      <c r="M223" s="25" t="s">
        <v>2126</v>
      </c>
      <c r="N223" s="38">
        <f t="shared" si="3"/>
        <v>100000</v>
      </c>
      <c r="O223" s="38">
        <f t="shared" ref="O223:P223" si="228">J223/I223</f>
        <v>9329507.929</v>
      </c>
      <c r="P223" s="41">
        <f t="shared" si="228"/>
        <v>0.6201521377</v>
      </c>
      <c r="Q223" s="37">
        <v>36.0</v>
      </c>
      <c r="R223" s="37">
        <v>0.0</v>
      </c>
      <c r="S223" s="37">
        <v>1.0</v>
      </c>
      <c r="T223" s="37">
        <v>2.0</v>
      </c>
      <c r="U223" s="37">
        <v>3.0</v>
      </c>
      <c r="V223" s="37">
        <v>6.0</v>
      </c>
      <c r="W223" s="25" t="s">
        <v>569</v>
      </c>
    </row>
    <row r="224">
      <c r="A224" s="25" t="s">
        <v>732</v>
      </c>
      <c r="B224" s="25" t="s">
        <v>48</v>
      </c>
      <c r="C224" s="36" t="s">
        <v>2127</v>
      </c>
      <c r="D224" s="37">
        <v>2011.0</v>
      </c>
      <c r="E224" s="38" t="s">
        <v>735</v>
      </c>
      <c r="F224" s="38" t="s">
        <v>391</v>
      </c>
      <c r="G224" s="39" t="str">
        <f>VLOOKUP(A224,'Dataset '!A:I,9,0)</f>
        <v>1000 - 5000</v>
      </c>
      <c r="H224" s="37">
        <v>1300.0</v>
      </c>
      <c r="I224" s="37">
        <v>14.0</v>
      </c>
      <c r="J224" s="38">
        <v>1.78601756E8</v>
      </c>
      <c r="K224" s="38">
        <v>1.0E7</v>
      </c>
      <c r="L224" s="40">
        <f>VLOOKUP($A224,'Dataset '!$A:$I,5,0)</f>
        <v>45153</v>
      </c>
      <c r="M224" s="38">
        <f t="shared" ref="M224:M227" si="230">J224/H224</f>
        <v>137385.9662</v>
      </c>
      <c r="N224" s="38">
        <f t="shared" si="3"/>
        <v>7692.307692</v>
      </c>
      <c r="O224" s="38">
        <f t="shared" ref="O224:P224" si="229">J224/I224</f>
        <v>12757268.29</v>
      </c>
      <c r="P224" s="41">
        <f t="shared" si="229"/>
        <v>0.05599049093</v>
      </c>
      <c r="Q224" s="37">
        <v>73.0</v>
      </c>
      <c r="R224" s="37">
        <v>0.0</v>
      </c>
      <c r="S224" s="37">
        <v>2.0</v>
      </c>
      <c r="T224" s="37">
        <v>6.0</v>
      </c>
      <c r="U224" s="37">
        <v>3.0</v>
      </c>
      <c r="V224" s="37">
        <v>7.0</v>
      </c>
      <c r="W224" s="25" t="s">
        <v>569</v>
      </c>
    </row>
    <row r="225">
      <c r="A225" s="25" t="s">
        <v>768</v>
      </c>
      <c r="B225" s="25" t="s">
        <v>48</v>
      </c>
      <c r="C225" s="36" t="s">
        <v>1196</v>
      </c>
      <c r="D225" s="37">
        <v>2012.0</v>
      </c>
      <c r="E225" s="38" t="s">
        <v>770</v>
      </c>
      <c r="F225" s="38" t="s">
        <v>769</v>
      </c>
      <c r="G225" s="39" t="str">
        <f>VLOOKUP(A225,'Dataset '!A:I,9,0)</f>
        <v>1000 - 5000</v>
      </c>
      <c r="H225" s="37">
        <v>2200.0</v>
      </c>
      <c r="I225" s="37">
        <v>13.0</v>
      </c>
      <c r="J225" s="38">
        <v>1.22E9</v>
      </c>
      <c r="K225" s="38">
        <v>1.08E8</v>
      </c>
      <c r="L225" s="40">
        <f>VLOOKUP($A225,'Dataset '!$A:$I,5,0)</f>
        <v>45992</v>
      </c>
      <c r="M225" s="38">
        <f t="shared" si="230"/>
        <v>554545.4545</v>
      </c>
      <c r="N225" s="38">
        <f t="shared" si="3"/>
        <v>49090.90909</v>
      </c>
      <c r="O225" s="38">
        <f t="shared" ref="O225:P225" si="231">J225/I225</f>
        <v>93846153.85</v>
      </c>
      <c r="P225" s="41">
        <f t="shared" si="231"/>
        <v>0.08852459016</v>
      </c>
      <c r="Q225" s="37">
        <v>87.0</v>
      </c>
      <c r="R225" s="37">
        <v>1.0</v>
      </c>
      <c r="S225" s="37">
        <v>5.0</v>
      </c>
      <c r="T225" s="37">
        <v>4.0</v>
      </c>
      <c r="U225" s="37">
        <v>6.0</v>
      </c>
      <c r="V225" s="37">
        <v>9.0</v>
      </c>
      <c r="W225" s="25" t="s">
        <v>569</v>
      </c>
    </row>
    <row r="226">
      <c r="A226" s="25" t="s">
        <v>856</v>
      </c>
      <c r="B226" s="25" t="s">
        <v>48</v>
      </c>
      <c r="C226" s="36" t="s">
        <v>2128</v>
      </c>
      <c r="D226" s="37">
        <v>2009.0</v>
      </c>
      <c r="E226" s="38" t="s">
        <v>857</v>
      </c>
      <c r="F226" s="38" t="s">
        <v>565</v>
      </c>
      <c r="G226" s="39" t="str">
        <f>VLOOKUP(A226,'Dataset '!A:I,9,0)</f>
        <v>1000 - 5000</v>
      </c>
      <c r="H226" s="37">
        <v>1900.0</v>
      </c>
      <c r="I226" s="37">
        <v>16.0</v>
      </c>
      <c r="J226" s="38">
        <v>3.38820267E8</v>
      </c>
      <c r="K226" s="38">
        <v>1.9E8</v>
      </c>
      <c r="L226" s="40">
        <f>VLOOKUP($A226,'Dataset '!$A:$I,5,0)</f>
        <v>44203</v>
      </c>
      <c r="M226" s="38">
        <f t="shared" si="230"/>
        <v>178326.4563</v>
      </c>
      <c r="N226" s="38">
        <f t="shared" si="3"/>
        <v>100000</v>
      </c>
      <c r="O226" s="38">
        <f t="shared" ref="O226:P226" si="232">J226/I226</f>
        <v>21176266.69</v>
      </c>
      <c r="P226" s="41">
        <f t="shared" si="232"/>
        <v>0.5607692883</v>
      </c>
      <c r="Q226" s="37">
        <v>104.0</v>
      </c>
      <c r="R226" s="37">
        <v>0.0</v>
      </c>
      <c r="S226" s="37">
        <v>4.0</v>
      </c>
      <c r="T226" s="37">
        <v>14.0</v>
      </c>
      <c r="U226" s="37">
        <v>5.0</v>
      </c>
      <c r="V226" s="37">
        <v>6.0</v>
      </c>
      <c r="W226" s="25" t="s">
        <v>569</v>
      </c>
    </row>
    <row r="227">
      <c r="A227" s="25" t="s">
        <v>896</v>
      </c>
      <c r="B227" s="25" t="s">
        <v>48</v>
      </c>
      <c r="C227" s="36" t="s">
        <v>2129</v>
      </c>
      <c r="D227" s="37">
        <v>2019.0</v>
      </c>
      <c r="E227" s="38" t="s">
        <v>897</v>
      </c>
      <c r="F227" s="38" t="s">
        <v>752</v>
      </c>
      <c r="G227" s="39" t="str">
        <f>VLOOKUP(A227,'Dataset '!A:I,9,0)</f>
        <v>1000 - 5000</v>
      </c>
      <c r="H227" s="37">
        <v>45.0</v>
      </c>
      <c r="I227" s="37">
        <v>6.0</v>
      </c>
      <c r="J227" s="38">
        <v>2.163E8</v>
      </c>
      <c r="K227" s="38">
        <v>2.2E7</v>
      </c>
      <c r="L227" s="40">
        <f>VLOOKUP($A227,'Dataset '!$A:$I,5,0)</f>
        <v>45699</v>
      </c>
      <c r="M227" s="38">
        <f t="shared" si="230"/>
        <v>4806666.667</v>
      </c>
      <c r="N227" s="38">
        <f t="shared" si="3"/>
        <v>488888.8889</v>
      </c>
      <c r="O227" s="38">
        <f t="shared" ref="O227:P227" si="233">J227/I227</f>
        <v>36050000</v>
      </c>
      <c r="P227" s="41">
        <f t="shared" si="233"/>
        <v>0.1017105871</v>
      </c>
      <c r="Q227" s="37">
        <v>17.0</v>
      </c>
      <c r="R227" s="37">
        <v>0.0</v>
      </c>
      <c r="S227" s="37">
        <v>1.0</v>
      </c>
      <c r="T227" s="37">
        <v>0.0</v>
      </c>
      <c r="U227" s="37">
        <v>1.0</v>
      </c>
      <c r="V227" s="37">
        <v>0.0</v>
      </c>
      <c r="W227" s="25" t="s">
        <v>558</v>
      </c>
    </row>
    <row r="228">
      <c r="A228" s="25" t="s">
        <v>1070</v>
      </c>
      <c r="B228" s="25" t="s">
        <v>48</v>
      </c>
      <c r="C228" s="36" t="s">
        <v>1522</v>
      </c>
      <c r="D228" s="37">
        <v>2018.0</v>
      </c>
      <c r="E228" s="38" t="s">
        <v>1071</v>
      </c>
      <c r="F228" s="38" t="s">
        <v>289</v>
      </c>
      <c r="G228" s="39" t="str">
        <f>VLOOKUP(A228,'Dataset '!A:I,9,0)</f>
        <v>1000 - 5000</v>
      </c>
      <c r="H228" s="37">
        <v>1100.0</v>
      </c>
      <c r="I228" s="37">
        <v>7.0</v>
      </c>
      <c r="J228" s="38">
        <v>5.6613109E7</v>
      </c>
      <c r="K228" s="38">
        <v>4.0E7</v>
      </c>
      <c r="L228" s="40">
        <f>VLOOKUP($A228,'Dataset '!$A:$I,5,0)</f>
        <v>45762</v>
      </c>
      <c r="M228" s="25" t="s">
        <v>2130</v>
      </c>
      <c r="N228" s="38">
        <f t="shared" si="3"/>
        <v>36363.63636</v>
      </c>
      <c r="O228" s="38">
        <f t="shared" ref="O228:P228" si="234">J228/I228</f>
        <v>8087587</v>
      </c>
      <c r="P228" s="41">
        <f t="shared" si="234"/>
        <v>0.7065501384</v>
      </c>
      <c r="Q228" s="37">
        <v>66.0</v>
      </c>
      <c r="R228" s="37">
        <v>3.0</v>
      </c>
      <c r="S228" s="37">
        <v>1.0</v>
      </c>
      <c r="T228" s="37">
        <v>3.0</v>
      </c>
      <c r="U228" s="37">
        <v>6.0</v>
      </c>
      <c r="V228" s="37">
        <v>3.0</v>
      </c>
      <c r="W228" s="25" t="s">
        <v>550</v>
      </c>
    </row>
    <row r="229">
      <c r="A229" s="25" t="s">
        <v>1120</v>
      </c>
      <c r="B229" s="25" t="s">
        <v>48</v>
      </c>
      <c r="C229" s="36" t="s">
        <v>1584</v>
      </c>
      <c r="D229" s="37">
        <v>2023.0</v>
      </c>
      <c r="E229" s="38" t="s">
        <v>1121</v>
      </c>
      <c r="F229" s="38" t="s">
        <v>38</v>
      </c>
      <c r="G229" s="39" t="str">
        <f>VLOOKUP(A229,'Dataset '!A:I,9,0)</f>
        <v>1000 - 5000</v>
      </c>
      <c r="H229" s="37">
        <v>1100.0</v>
      </c>
      <c r="I229" s="37">
        <v>2.0</v>
      </c>
      <c r="J229" s="38">
        <v>8.267585E7</v>
      </c>
      <c r="K229" s="38">
        <v>5.4E7</v>
      </c>
      <c r="L229" s="40">
        <f>VLOOKUP($A229,'Dataset '!$A:$I,5,0)</f>
        <v>43816</v>
      </c>
      <c r="M229" s="25" t="s">
        <v>2131</v>
      </c>
      <c r="N229" s="38">
        <f t="shared" si="3"/>
        <v>49090.90909</v>
      </c>
      <c r="O229" s="38">
        <f t="shared" ref="O229:P229" si="235">J229/I229</f>
        <v>41337925</v>
      </c>
      <c r="P229" s="41">
        <f t="shared" si="235"/>
        <v>0.6531532485</v>
      </c>
      <c r="Q229" s="37">
        <v>75.0</v>
      </c>
      <c r="R229" s="37">
        <v>0.0</v>
      </c>
      <c r="S229" s="37">
        <v>6.0</v>
      </c>
      <c r="T229" s="37">
        <v>9.0</v>
      </c>
      <c r="U229" s="37">
        <v>3.0</v>
      </c>
      <c r="V229" s="37">
        <v>8.0</v>
      </c>
      <c r="W229" s="25" t="s">
        <v>558</v>
      </c>
    </row>
    <row r="230">
      <c r="A230" s="25" t="s">
        <v>1157</v>
      </c>
      <c r="B230" s="25" t="s">
        <v>48</v>
      </c>
      <c r="C230" s="36" t="s">
        <v>1621</v>
      </c>
      <c r="D230" s="37">
        <v>2023.0</v>
      </c>
      <c r="E230" s="38" t="s">
        <v>1158</v>
      </c>
      <c r="F230" s="38" t="s">
        <v>752</v>
      </c>
      <c r="G230" s="39" t="str">
        <f>VLOOKUP(A230,'Dataset '!A:I,9,0)</f>
        <v>1000 - 5000</v>
      </c>
      <c r="H230" s="37">
        <v>1600.0</v>
      </c>
      <c r="I230" s="37">
        <v>2.0</v>
      </c>
      <c r="J230" s="38">
        <v>2.3E8</v>
      </c>
      <c r="K230" s="38">
        <v>6.0E7</v>
      </c>
      <c r="L230" s="40">
        <f>VLOOKUP($A230,'Dataset '!$A:$I,5,0)</f>
        <v>45615</v>
      </c>
      <c r="M230" s="25" t="s">
        <v>2132</v>
      </c>
      <c r="N230" s="38">
        <f t="shared" si="3"/>
        <v>37500</v>
      </c>
      <c r="O230" s="38">
        <f t="shared" ref="O230:P230" si="236">J230/I230</f>
        <v>115000000</v>
      </c>
      <c r="P230" s="41">
        <f t="shared" si="236"/>
        <v>0.2608695652</v>
      </c>
      <c r="Q230" s="37">
        <v>87.0</v>
      </c>
      <c r="R230" s="37">
        <v>2.0</v>
      </c>
      <c r="S230" s="37">
        <v>2.0</v>
      </c>
      <c r="T230" s="37">
        <v>7.0</v>
      </c>
      <c r="U230" s="37">
        <v>5.0</v>
      </c>
      <c r="V230" s="37">
        <v>7.0</v>
      </c>
      <c r="W230" s="25" t="s">
        <v>558</v>
      </c>
    </row>
    <row r="231">
      <c r="A231" s="26" t="s">
        <v>1708</v>
      </c>
      <c r="B231" s="25" t="s">
        <v>48</v>
      </c>
      <c r="C231" s="36" t="s">
        <v>1923</v>
      </c>
      <c r="D231" s="37">
        <v>2016.0</v>
      </c>
      <c r="E231" s="38" t="s">
        <v>735</v>
      </c>
      <c r="F231" s="38" t="s">
        <v>38</v>
      </c>
      <c r="G231" s="39" t="str">
        <f>VLOOKUP(A231,'Dataset '!A:I,9,0)</f>
        <v>1000 - 5000</v>
      </c>
      <c r="H231" s="37">
        <v>1100.0</v>
      </c>
      <c r="I231" s="37">
        <v>9.0</v>
      </c>
      <c r="J231" s="38">
        <v>4.4548923E7</v>
      </c>
      <c r="K231" s="38">
        <v>1.8E7</v>
      </c>
      <c r="L231" s="40">
        <f>VLOOKUP($A231,'Dataset '!$A:$I,5,0)</f>
        <v>45547</v>
      </c>
      <c r="M231" s="25" t="s">
        <v>2133</v>
      </c>
      <c r="N231" s="38">
        <f t="shared" si="3"/>
        <v>16363.63636</v>
      </c>
      <c r="O231" s="38">
        <f t="shared" ref="O231:P231" si="237">J231/I231</f>
        <v>4949880.333</v>
      </c>
      <c r="P231" s="41">
        <f t="shared" si="237"/>
        <v>0.404050172</v>
      </c>
      <c r="Q231" s="37">
        <v>61.0</v>
      </c>
      <c r="R231" s="37">
        <v>0.0</v>
      </c>
      <c r="S231" s="37">
        <v>0.0</v>
      </c>
      <c r="T231" s="37">
        <v>4.0</v>
      </c>
      <c r="U231" s="37">
        <v>4.0</v>
      </c>
      <c r="V231" s="37">
        <v>7.0</v>
      </c>
      <c r="W231" s="25" t="s">
        <v>595</v>
      </c>
    </row>
    <row r="232">
      <c r="A232" s="25" t="s">
        <v>1277</v>
      </c>
      <c r="B232" s="25" t="s">
        <v>48</v>
      </c>
      <c r="C232" s="36" t="s">
        <v>1280</v>
      </c>
      <c r="D232" s="37">
        <v>2010.0</v>
      </c>
      <c r="E232" s="38" t="s">
        <v>1278</v>
      </c>
      <c r="F232" s="38" t="s">
        <v>38</v>
      </c>
      <c r="G232" s="39" t="str">
        <f>VLOOKUP(A232,'Dataset '!A:I,9,0)</f>
        <v>1000 - 5000</v>
      </c>
      <c r="H232" s="37">
        <v>960.0</v>
      </c>
      <c r="I232" s="37">
        <v>15.0</v>
      </c>
      <c r="J232" s="38">
        <v>1.0044E8</v>
      </c>
      <c r="K232" s="38">
        <v>2520000.0</v>
      </c>
      <c r="L232" s="40">
        <f>VLOOKUP($A232,'Dataset '!$A:$I,5,0)</f>
        <v>45576</v>
      </c>
      <c r="M232" s="25" t="s">
        <v>2134</v>
      </c>
      <c r="N232" s="38">
        <f t="shared" si="3"/>
        <v>2625</v>
      </c>
      <c r="O232" s="38">
        <f t="shared" ref="O232:P232" si="238">J232/I232</f>
        <v>6696000</v>
      </c>
      <c r="P232" s="41">
        <f t="shared" si="238"/>
        <v>0.02508960573</v>
      </c>
      <c r="Q232" s="37">
        <v>92.0</v>
      </c>
      <c r="R232" s="37">
        <v>2.0</v>
      </c>
      <c r="S232" s="37">
        <v>1.0</v>
      </c>
      <c r="T232" s="37">
        <v>10.0</v>
      </c>
      <c r="U232" s="37">
        <v>3.0</v>
      </c>
      <c r="V232" s="37">
        <v>5.0</v>
      </c>
      <c r="W232" s="25" t="s">
        <v>558</v>
      </c>
    </row>
    <row r="233">
      <c r="A233" s="25" t="s">
        <v>1482</v>
      </c>
      <c r="B233" s="25" t="s">
        <v>48</v>
      </c>
      <c r="C233" s="36" t="s">
        <v>1486</v>
      </c>
      <c r="D233" s="37">
        <v>2021.0</v>
      </c>
      <c r="E233" s="38" t="s">
        <v>1484</v>
      </c>
      <c r="F233" s="38" t="s">
        <v>38</v>
      </c>
      <c r="G233" s="39" t="str">
        <f>VLOOKUP(A233,'Dataset '!A:I,9,0)</f>
        <v>1000 - 5000</v>
      </c>
      <c r="H233" s="37">
        <v>164000.0</v>
      </c>
      <c r="I233" s="37">
        <v>4.0</v>
      </c>
      <c r="J233" s="38">
        <v>1.05066883E8</v>
      </c>
      <c r="K233" s="38">
        <v>4500000.0</v>
      </c>
      <c r="L233" s="40">
        <f>VLOOKUP($A233,'Dataset '!$A:$I,5,0)</f>
        <v>45315</v>
      </c>
      <c r="M233" s="25" t="s">
        <v>2135</v>
      </c>
      <c r="N233" s="38">
        <f t="shared" si="3"/>
        <v>27.43902439</v>
      </c>
      <c r="O233" s="38">
        <f t="shared" ref="O233:P233" si="239">J233/I233</f>
        <v>26266720.75</v>
      </c>
      <c r="P233" s="41">
        <f t="shared" si="239"/>
        <v>0.04282986105</v>
      </c>
      <c r="Q233" s="37">
        <v>668.0</v>
      </c>
      <c r="R233" s="37">
        <v>5.0</v>
      </c>
      <c r="S233" s="37">
        <v>10.0</v>
      </c>
      <c r="T233" s="37">
        <v>16.0</v>
      </c>
      <c r="U233" s="37">
        <v>3.0</v>
      </c>
      <c r="V233" s="37">
        <v>4.0</v>
      </c>
      <c r="W233" s="25" t="s">
        <v>595</v>
      </c>
    </row>
    <row r="234">
      <c r="A234" s="25" t="s">
        <v>1801</v>
      </c>
      <c r="B234" s="25" t="s">
        <v>48</v>
      </c>
      <c r="C234" s="36" t="s">
        <v>1964</v>
      </c>
      <c r="D234" s="37">
        <v>2019.0</v>
      </c>
      <c r="E234" s="38" t="s">
        <v>1802</v>
      </c>
      <c r="F234" s="38" t="s">
        <v>289</v>
      </c>
      <c r="G234" s="39" t="str">
        <f>VLOOKUP(A234,'Dataset '!A:I,9,0)</f>
        <v>1000 - 5000</v>
      </c>
      <c r="H234" s="37">
        <v>1100.0</v>
      </c>
      <c r="I234" s="37">
        <v>6.0</v>
      </c>
      <c r="J234" s="38">
        <v>1.062E8</v>
      </c>
      <c r="K234" s="38">
        <v>5.4E7</v>
      </c>
      <c r="L234" s="40">
        <f>VLOOKUP($A234,'Dataset '!$A:$I,5,0)</f>
        <v>45160</v>
      </c>
      <c r="M234" s="25" t="s">
        <v>2136</v>
      </c>
      <c r="N234" s="38">
        <f t="shared" si="3"/>
        <v>49090.90909</v>
      </c>
      <c r="O234" s="38">
        <f t="shared" ref="O234:P234" si="240">J234/I234</f>
        <v>17700000</v>
      </c>
      <c r="P234" s="41">
        <f t="shared" si="240"/>
        <v>0.5084745763</v>
      </c>
      <c r="Q234" s="37">
        <v>27.0</v>
      </c>
      <c r="R234" s="37">
        <v>0.0</v>
      </c>
      <c r="S234" s="37">
        <v>2.0</v>
      </c>
      <c r="T234" s="37">
        <v>5.0</v>
      </c>
      <c r="U234" s="37">
        <v>1.0</v>
      </c>
      <c r="V234" s="37">
        <v>1.0</v>
      </c>
      <c r="W234" s="25" t="s">
        <v>595</v>
      </c>
    </row>
    <row r="235">
      <c r="A235" s="25" t="s">
        <v>1686</v>
      </c>
      <c r="B235" s="25" t="s">
        <v>48</v>
      </c>
      <c r="C235" s="36" t="s">
        <v>1689</v>
      </c>
      <c r="D235" s="37">
        <v>2010.0</v>
      </c>
      <c r="E235" s="38" t="s">
        <v>1687</v>
      </c>
      <c r="F235" s="38" t="s">
        <v>38</v>
      </c>
      <c r="G235" s="39" t="str">
        <f>VLOOKUP(A235,'Dataset '!A:I,9,0)</f>
        <v>1000 - 5000</v>
      </c>
      <c r="H235" s="37">
        <v>1300.0</v>
      </c>
      <c r="I235" s="37">
        <v>15.0</v>
      </c>
      <c r="J235" s="38">
        <v>1.86894344E8</v>
      </c>
      <c r="K235" s="38">
        <v>6300000.0</v>
      </c>
      <c r="L235" s="40">
        <f>VLOOKUP($A235,'Dataset '!$A:$I,5,0)</f>
        <v>45910</v>
      </c>
      <c r="M235" s="25" t="s">
        <v>2137</v>
      </c>
      <c r="N235" s="38">
        <f t="shared" si="3"/>
        <v>4846.153846</v>
      </c>
      <c r="O235" s="38">
        <f t="shared" ref="O235:P235" si="241">J235/I235</f>
        <v>12459622.93</v>
      </c>
      <c r="P235" s="41">
        <f t="shared" si="241"/>
        <v>0.03370888527</v>
      </c>
      <c r="Q235" s="37">
        <v>89.0</v>
      </c>
      <c r="R235" s="37">
        <v>0.0</v>
      </c>
      <c r="S235" s="37">
        <v>2.0</v>
      </c>
      <c r="T235" s="37">
        <v>5.0</v>
      </c>
      <c r="U235" s="37">
        <v>4.0</v>
      </c>
      <c r="V235" s="37">
        <v>9.0</v>
      </c>
      <c r="W235" s="25" t="s">
        <v>558</v>
      </c>
    </row>
    <row r="236">
      <c r="A236" s="25" t="s">
        <v>1853</v>
      </c>
      <c r="B236" s="25" t="s">
        <v>48</v>
      </c>
      <c r="C236" s="36" t="s">
        <v>1978</v>
      </c>
      <c r="D236" s="37">
        <v>2015.0</v>
      </c>
      <c r="E236" s="38" t="s">
        <v>1854</v>
      </c>
      <c r="F236" s="38" t="s">
        <v>289</v>
      </c>
      <c r="G236" s="39" t="str">
        <f>VLOOKUP(A236,'Dataset '!A:I,9,0)</f>
        <v>1000 - 5000</v>
      </c>
      <c r="H236" s="37">
        <v>1200.0</v>
      </c>
      <c r="I236" s="37">
        <v>10.0</v>
      </c>
      <c r="J236" s="38">
        <v>1.05035434E8</v>
      </c>
      <c r="K236" s="38">
        <v>9.0E7</v>
      </c>
      <c r="L236" s="40">
        <f>VLOOKUP($A236,'Dataset '!$A:$I,5,0)</f>
        <v>44592</v>
      </c>
      <c r="M236" s="25" t="s">
        <v>2138</v>
      </c>
      <c r="N236" s="38">
        <f t="shared" si="3"/>
        <v>75000</v>
      </c>
      <c r="O236" s="38">
        <f t="shared" ref="O236:P236" si="242">J236/I236</f>
        <v>10503543.4</v>
      </c>
      <c r="P236" s="41">
        <f t="shared" si="242"/>
        <v>0.8568536976</v>
      </c>
      <c r="Q236" s="37">
        <v>64.0</v>
      </c>
      <c r="R236" s="37">
        <v>1.0</v>
      </c>
      <c r="S236" s="37">
        <v>1.0</v>
      </c>
      <c r="T236" s="37">
        <v>6.0</v>
      </c>
      <c r="U236" s="37">
        <v>3.0</v>
      </c>
      <c r="V236" s="37">
        <v>7.0</v>
      </c>
      <c r="W236" s="25" t="s">
        <v>558</v>
      </c>
    </row>
    <row r="237">
      <c r="J237" s="28"/>
      <c r="K237" s="28"/>
      <c r="N237" s="25"/>
      <c r="P237" s="41"/>
    </row>
    <row r="238">
      <c r="J238" s="28"/>
      <c r="K238" s="28"/>
      <c r="N238" s="25"/>
      <c r="P238" s="41"/>
    </row>
    <row r="239">
      <c r="J239" s="28"/>
      <c r="K239" s="28"/>
      <c r="N239" s="25"/>
      <c r="P239" s="41"/>
    </row>
    <row r="240">
      <c r="J240" s="28"/>
      <c r="K240" s="28"/>
      <c r="N240" s="25"/>
      <c r="P240" s="41"/>
    </row>
    <row r="241">
      <c r="J241" s="28"/>
      <c r="K241" s="28"/>
      <c r="N241" s="25"/>
      <c r="P241" s="41"/>
    </row>
    <row r="242">
      <c r="J242" s="28"/>
      <c r="K242" s="28"/>
      <c r="N242" s="25"/>
      <c r="P242" s="41"/>
    </row>
    <row r="243">
      <c r="J243" s="28"/>
      <c r="K243" s="28"/>
      <c r="N243" s="25"/>
      <c r="P243" s="41"/>
    </row>
    <row r="244">
      <c r="J244" s="28"/>
      <c r="K244" s="28"/>
      <c r="N244" s="25"/>
      <c r="P244" s="41"/>
    </row>
    <row r="245">
      <c r="J245" s="28"/>
      <c r="K245" s="28"/>
      <c r="N245" s="25"/>
      <c r="P245" s="41"/>
    </row>
    <row r="246">
      <c r="J246" s="28"/>
      <c r="K246" s="28"/>
      <c r="N246" s="25"/>
      <c r="P246" s="41"/>
    </row>
    <row r="247">
      <c r="J247" s="28"/>
      <c r="K247" s="28"/>
      <c r="N247" s="25"/>
      <c r="P247" s="41"/>
    </row>
    <row r="248">
      <c r="J248" s="28"/>
      <c r="K248" s="28"/>
      <c r="N248" s="25"/>
      <c r="P248" s="41"/>
    </row>
    <row r="249">
      <c r="J249" s="28"/>
      <c r="K249" s="28"/>
      <c r="N249" s="25"/>
      <c r="P249" s="41"/>
    </row>
    <row r="250">
      <c r="J250" s="28"/>
      <c r="K250" s="28"/>
      <c r="N250" s="25"/>
      <c r="P250" s="41"/>
    </row>
    <row r="251">
      <c r="J251" s="28"/>
      <c r="K251" s="28"/>
      <c r="N251" s="25"/>
      <c r="P251" s="41"/>
    </row>
    <row r="252">
      <c r="J252" s="28"/>
      <c r="K252" s="28"/>
      <c r="N252" s="25"/>
      <c r="P252" s="41"/>
    </row>
    <row r="253">
      <c r="J253" s="28"/>
      <c r="K253" s="28"/>
      <c r="N253" s="25"/>
      <c r="P253" s="41"/>
    </row>
    <row r="254">
      <c r="J254" s="28"/>
      <c r="K254" s="28"/>
      <c r="N254" s="25"/>
      <c r="P254" s="41"/>
    </row>
    <row r="255">
      <c r="J255" s="28"/>
      <c r="K255" s="28"/>
      <c r="N255" s="25"/>
      <c r="P255" s="41"/>
    </row>
    <row r="256">
      <c r="J256" s="28"/>
      <c r="K256" s="28"/>
      <c r="N256" s="25"/>
      <c r="P256" s="41"/>
    </row>
    <row r="257">
      <c r="J257" s="28"/>
      <c r="K257" s="28"/>
    </row>
    <row r="258">
      <c r="J258" s="28"/>
      <c r="K258" s="28"/>
    </row>
    <row r="259">
      <c r="J259" s="28"/>
      <c r="K259" s="28"/>
    </row>
    <row r="260">
      <c r="J260" s="28"/>
      <c r="K260" s="28"/>
    </row>
    <row r="261">
      <c r="J261" s="28"/>
      <c r="K261" s="28"/>
    </row>
    <row r="262">
      <c r="J262" s="28"/>
      <c r="K262" s="28"/>
    </row>
    <row r="263">
      <c r="J263" s="28"/>
      <c r="K263" s="28"/>
    </row>
    <row r="264">
      <c r="J264" s="28"/>
      <c r="K264" s="28"/>
    </row>
    <row r="265">
      <c r="J265" s="28"/>
      <c r="K265" s="28"/>
    </row>
    <row r="266">
      <c r="J266" s="28"/>
      <c r="K266" s="28"/>
    </row>
    <row r="267">
      <c r="J267" s="28"/>
      <c r="K267" s="28"/>
    </row>
    <row r="268">
      <c r="J268" s="28"/>
      <c r="K268" s="28"/>
    </row>
    <row r="269">
      <c r="J269" s="28"/>
      <c r="K269" s="28"/>
    </row>
    <row r="270">
      <c r="J270" s="28"/>
      <c r="K270" s="28"/>
    </row>
    <row r="271">
      <c r="J271" s="28"/>
      <c r="K271" s="28"/>
    </row>
    <row r="272">
      <c r="J272" s="28"/>
      <c r="K272" s="28"/>
    </row>
    <row r="273">
      <c r="J273" s="28"/>
      <c r="K273" s="28"/>
    </row>
    <row r="274">
      <c r="J274" s="28"/>
      <c r="K274" s="28"/>
    </row>
    <row r="275">
      <c r="J275" s="28"/>
      <c r="K275" s="28"/>
    </row>
    <row r="276">
      <c r="J276" s="28"/>
      <c r="K276" s="28"/>
    </row>
    <row r="277">
      <c r="J277" s="28"/>
      <c r="K277" s="28"/>
    </row>
    <row r="278">
      <c r="J278" s="28"/>
      <c r="K278" s="28"/>
    </row>
    <row r="279">
      <c r="J279" s="28"/>
      <c r="K279" s="28"/>
    </row>
    <row r="280">
      <c r="J280" s="28"/>
      <c r="K280" s="28"/>
    </row>
    <row r="281">
      <c r="J281" s="28"/>
      <c r="K281" s="28"/>
    </row>
    <row r="282">
      <c r="J282" s="28"/>
      <c r="K282" s="28"/>
    </row>
    <row r="283">
      <c r="J283" s="28"/>
      <c r="K283" s="28"/>
    </row>
    <row r="284">
      <c r="J284" s="28"/>
      <c r="K284" s="28"/>
    </row>
    <row r="285">
      <c r="J285" s="28"/>
      <c r="K285" s="28"/>
    </row>
    <row r="286">
      <c r="J286" s="28"/>
      <c r="K286" s="28"/>
    </row>
    <row r="287">
      <c r="J287" s="28"/>
      <c r="K287" s="28"/>
    </row>
    <row r="288">
      <c r="J288" s="28"/>
      <c r="K288" s="28"/>
    </row>
    <row r="289">
      <c r="J289" s="28"/>
      <c r="K289" s="28"/>
    </row>
    <row r="290">
      <c r="J290" s="28"/>
      <c r="K290" s="28"/>
    </row>
    <row r="291">
      <c r="J291" s="28"/>
      <c r="K291" s="28"/>
    </row>
    <row r="292">
      <c r="J292" s="28"/>
      <c r="K292" s="28"/>
    </row>
    <row r="293">
      <c r="J293" s="28"/>
      <c r="K293" s="28"/>
    </row>
    <row r="294">
      <c r="J294" s="28"/>
      <c r="K294" s="28"/>
    </row>
    <row r="295">
      <c r="J295" s="28"/>
      <c r="K295" s="28"/>
    </row>
    <row r="296">
      <c r="J296" s="28"/>
      <c r="K296" s="28"/>
    </row>
    <row r="297">
      <c r="J297" s="28"/>
      <c r="K297" s="28"/>
    </row>
    <row r="298">
      <c r="J298" s="28"/>
      <c r="K298" s="28"/>
    </row>
    <row r="299">
      <c r="J299" s="28"/>
      <c r="K299" s="28"/>
    </row>
    <row r="300">
      <c r="J300" s="28"/>
      <c r="K300" s="28"/>
    </row>
    <row r="301">
      <c r="J301" s="28"/>
      <c r="K301" s="28"/>
    </row>
    <row r="302">
      <c r="J302" s="28"/>
      <c r="K302" s="28"/>
    </row>
    <row r="303">
      <c r="J303" s="28"/>
      <c r="K303" s="28"/>
    </row>
    <row r="304">
      <c r="J304" s="28"/>
      <c r="K304" s="28"/>
    </row>
    <row r="305">
      <c r="J305" s="28"/>
      <c r="K305" s="28"/>
    </row>
    <row r="306">
      <c r="J306" s="28"/>
      <c r="K306" s="28"/>
    </row>
    <row r="307">
      <c r="J307" s="28"/>
      <c r="K307" s="28"/>
    </row>
    <row r="308">
      <c r="J308" s="28"/>
      <c r="K308" s="28"/>
    </row>
    <row r="309">
      <c r="J309" s="28"/>
      <c r="K309" s="28"/>
    </row>
    <row r="310">
      <c r="J310" s="28"/>
      <c r="K310" s="28"/>
    </row>
    <row r="311">
      <c r="J311" s="28"/>
      <c r="K311" s="28"/>
    </row>
    <row r="312">
      <c r="J312" s="28"/>
      <c r="K312" s="28"/>
    </row>
    <row r="313">
      <c r="J313" s="28"/>
      <c r="K313" s="28"/>
    </row>
    <row r="314">
      <c r="J314" s="28"/>
      <c r="K314" s="28"/>
    </row>
    <row r="315">
      <c r="J315" s="28"/>
      <c r="K315" s="28"/>
    </row>
    <row r="316">
      <c r="J316" s="28"/>
      <c r="K316" s="28"/>
    </row>
    <row r="317">
      <c r="J317" s="28"/>
      <c r="K317" s="28"/>
    </row>
    <row r="318">
      <c r="J318" s="28"/>
      <c r="K318" s="28"/>
    </row>
    <row r="319">
      <c r="J319" s="28"/>
      <c r="K319" s="28"/>
    </row>
    <row r="320">
      <c r="J320" s="28"/>
      <c r="K320" s="28"/>
    </row>
    <row r="321">
      <c r="J321" s="28"/>
      <c r="K321" s="28"/>
    </row>
    <row r="322">
      <c r="J322" s="28"/>
      <c r="K322" s="28"/>
    </row>
    <row r="323">
      <c r="J323" s="28"/>
      <c r="K323" s="28"/>
    </row>
    <row r="324">
      <c r="J324" s="28"/>
      <c r="K324" s="28"/>
    </row>
    <row r="325">
      <c r="J325" s="28"/>
      <c r="K325" s="28"/>
    </row>
    <row r="326">
      <c r="J326" s="28"/>
      <c r="K326" s="28"/>
    </row>
    <row r="327">
      <c r="J327" s="28"/>
      <c r="K327" s="28"/>
    </row>
    <row r="328">
      <c r="J328" s="28"/>
      <c r="K328" s="28"/>
    </row>
    <row r="329">
      <c r="J329" s="28"/>
      <c r="K329" s="28"/>
    </row>
    <row r="330">
      <c r="J330" s="28"/>
      <c r="K330" s="28"/>
    </row>
    <row r="331">
      <c r="J331" s="28"/>
      <c r="K331" s="28"/>
    </row>
    <row r="332">
      <c r="J332" s="28"/>
      <c r="K332" s="28"/>
    </row>
    <row r="333">
      <c r="J333" s="28"/>
      <c r="K333" s="28"/>
    </row>
    <row r="334">
      <c r="J334" s="28"/>
      <c r="K334" s="28"/>
    </row>
    <row r="335">
      <c r="J335" s="28"/>
      <c r="K335" s="28"/>
    </row>
    <row r="336">
      <c r="J336" s="28"/>
      <c r="K336" s="28"/>
    </row>
    <row r="337">
      <c r="J337" s="28"/>
      <c r="K337" s="28"/>
    </row>
    <row r="338">
      <c r="J338" s="28"/>
      <c r="K338" s="28"/>
    </row>
    <row r="339">
      <c r="J339" s="28"/>
      <c r="K339" s="28"/>
    </row>
    <row r="340">
      <c r="J340" s="28"/>
      <c r="K340" s="28"/>
    </row>
    <row r="341">
      <c r="J341" s="28"/>
      <c r="K341" s="28"/>
    </row>
    <row r="342">
      <c r="J342" s="28"/>
      <c r="K342" s="28"/>
    </row>
    <row r="343">
      <c r="J343" s="28"/>
      <c r="K343" s="28"/>
    </row>
    <row r="344">
      <c r="J344" s="28"/>
      <c r="K344" s="28"/>
    </row>
    <row r="345">
      <c r="J345" s="28"/>
      <c r="K345" s="28"/>
    </row>
    <row r="346">
      <c r="J346" s="28"/>
      <c r="K346" s="28"/>
    </row>
    <row r="347">
      <c r="J347" s="28"/>
      <c r="K347" s="28"/>
    </row>
    <row r="348">
      <c r="J348" s="28"/>
      <c r="K348" s="28"/>
    </row>
    <row r="349">
      <c r="J349" s="28"/>
      <c r="K349" s="28"/>
    </row>
    <row r="350">
      <c r="J350" s="28"/>
      <c r="K350" s="28"/>
    </row>
    <row r="351">
      <c r="J351" s="28"/>
      <c r="K351" s="28"/>
    </row>
    <row r="352">
      <c r="J352" s="28"/>
      <c r="K352" s="28"/>
    </row>
    <row r="353">
      <c r="J353" s="28"/>
      <c r="K353" s="28"/>
    </row>
    <row r="354">
      <c r="J354" s="28"/>
      <c r="K354" s="28"/>
    </row>
    <row r="355">
      <c r="J355" s="28"/>
      <c r="K355" s="28"/>
    </row>
    <row r="356">
      <c r="J356" s="28"/>
      <c r="K356" s="28"/>
    </row>
    <row r="357">
      <c r="J357" s="28"/>
      <c r="K357" s="28"/>
    </row>
    <row r="358">
      <c r="J358" s="28"/>
      <c r="K358" s="28"/>
    </row>
    <row r="359">
      <c r="J359" s="28"/>
      <c r="K359" s="28"/>
    </row>
    <row r="360">
      <c r="J360" s="28"/>
      <c r="K360" s="28"/>
    </row>
    <row r="361">
      <c r="J361" s="28"/>
      <c r="K361" s="28"/>
    </row>
    <row r="362">
      <c r="J362" s="28"/>
      <c r="K362" s="28"/>
    </row>
    <row r="363">
      <c r="J363" s="28"/>
      <c r="K363" s="28"/>
    </row>
    <row r="364">
      <c r="J364" s="28"/>
      <c r="K364" s="28"/>
    </row>
    <row r="365">
      <c r="J365" s="28"/>
      <c r="K365" s="28"/>
    </row>
    <row r="366">
      <c r="J366" s="28"/>
      <c r="K366" s="28"/>
    </row>
    <row r="367">
      <c r="J367" s="28"/>
      <c r="K367" s="28"/>
    </row>
    <row r="368">
      <c r="J368" s="28"/>
      <c r="K368" s="28"/>
    </row>
    <row r="369">
      <c r="J369" s="28"/>
      <c r="K369" s="28"/>
    </row>
    <row r="370">
      <c r="J370" s="28"/>
      <c r="K370" s="28"/>
    </row>
    <row r="371">
      <c r="J371" s="28"/>
      <c r="K371" s="28"/>
    </row>
    <row r="372">
      <c r="J372" s="28"/>
      <c r="K372" s="28"/>
    </row>
    <row r="373">
      <c r="J373" s="28"/>
      <c r="K373" s="28"/>
    </row>
    <row r="374">
      <c r="J374" s="28"/>
      <c r="K374" s="28"/>
    </row>
    <row r="375">
      <c r="J375" s="28"/>
      <c r="K375" s="28"/>
    </row>
    <row r="376">
      <c r="J376" s="28"/>
      <c r="K376" s="28"/>
    </row>
    <row r="377">
      <c r="J377" s="28"/>
      <c r="K377" s="28"/>
    </row>
    <row r="378">
      <c r="J378" s="28"/>
      <c r="K378" s="28"/>
    </row>
    <row r="379">
      <c r="J379" s="28"/>
      <c r="K379" s="28"/>
    </row>
    <row r="380">
      <c r="J380" s="28"/>
      <c r="K380" s="28"/>
    </row>
    <row r="381">
      <c r="J381" s="28"/>
      <c r="K381" s="28"/>
    </row>
    <row r="382">
      <c r="J382" s="28"/>
      <c r="K382" s="28"/>
    </row>
    <row r="383">
      <c r="J383" s="28"/>
      <c r="K383" s="28"/>
    </row>
    <row r="384">
      <c r="J384" s="28"/>
      <c r="K384" s="28"/>
    </row>
    <row r="385">
      <c r="J385" s="28"/>
      <c r="K385" s="28"/>
    </row>
    <row r="386">
      <c r="J386" s="28"/>
      <c r="K386" s="28"/>
    </row>
    <row r="387">
      <c r="J387" s="28"/>
      <c r="K387" s="28"/>
    </row>
    <row r="388">
      <c r="J388" s="28"/>
      <c r="K388" s="28"/>
    </row>
    <row r="389">
      <c r="J389" s="28"/>
      <c r="K389" s="28"/>
    </row>
    <row r="390">
      <c r="J390" s="28"/>
      <c r="K390" s="28"/>
    </row>
    <row r="391">
      <c r="J391" s="28"/>
      <c r="K391" s="28"/>
    </row>
    <row r="392">
      <c r="J392" s="28"/>
      <c r="K392" s="28"/>
    </row>
    <row r="393">
      <c r="J393" s="28"/>
      <c r="K393" s="28"/>
    </row>
    <row r="394">
      <c r="J394" s="28"/>
      <c r="K394" s="28"/>
    </row>
    <row r="395">
      <c r="J395" s="28"/>
      <c r="K395" s="28"/>
    </row>
    <row r="396">
      <c r="J396" s="28"/>
      <c r="K396" s="28"/>
    </row>
    <row r="397">
      <c r="J397" s="28"/>
      <c r="K397" s="28"/>
    </row>
    <row r="398">
      <c r="J398" s="28"/>
      <c r="K398" s="28"/>
    </row>
    <row r="399">
      <c r="J399" s="28"/>
      <c r="K399" s="28"/>
    </row>
    <row r="400">
      <c r="J400" s="28"/>
      <c r="K400" s="28"/>
    </row>
    <row r="401">
      <c r="J401" s="28"/>
      <c r="K401" s="28"/>
    </row>
    <row r="402">
      <c r="J402" s="28"/>
      <c r="K402" s="28"/>
    </row>
    <row r="403">
      <c r="J403" s="28"/>
      <c r="K403" s="28"/>
    </row>
    <row r="404">
      <c r="J404" s="28"/>
      <c r="K404" s="28"/>
    </row>
    <row r="405">
      <c r="J405" s="28"/>
      <c r="K405" s="28"/>
    </row>
    <row r="406">
      <c r="J406" s="28"/>
      <c r="K406" s="28"/>
    </row>
    <row r="407">
      <c r="J407" s="28"/>
      <c r="K407" s="28"/>
    </row>
    <row r="408">
      <c r="J408" s="28"/>
      <c r="K408" s="28"/>
    </row>
    <row r="409">
      <c r="J409" s="28"/>
      <c r="K409" s="28"/>
    </row>
    <row r="410">
      <c r="J410" s="28"/>
      <c r="K410" s="28"/>
    </row>
    <row r="411">
      <c r="J411" s="28"/>
      <c r="K411" s="28"/>
    </row>
    <row r="412">
      <c r="J412" s="28"/>
      <c r="K412" s="28"/>
    </row>
    <row r="413">
      <c r="J413" s="28"/>
      <c r="K413" s="28"/>
    </row>
    <row r="414">
      <c r="J414" s="28"/>
      <c r="K414" s="28"/>
    </row>
    <row r="415">
      <c r="J415" s="28"/>
      <c r="K415" s="28"/>
    </row>
    <row r="416">
      <c r="J416" s="28"/>
      <c r="K416" s="28"/>
    </row>
    <row r="417">
      <c r="J417" s="28"/>
      <c r="K417" s="28"/>
    </row>
    <row r="418">
      <c r="J418" s="28"/>
      <c r="K418" s="28"/>
    </row>
    <row r="419">
      <c r="J419" s="28"/>
      <c r="K419" s="28"/>
    </row>
    <row r="420">
      <c r="J420" s="28"/>
      <c r="K420" s="28"/>
    </row>
    <row r="421">
      <c r="J421" s="28"/>
      <c r="K421" s="28"/>
    </row>
    <row r="422">
      <c r="J422" s="28"/>
      <c r="K422" s="28"/>
    </row>
    <row r="423">
      <c r="J423" s="28"/>
      <c r="K423" s="28"/>
    </row>
    <row r="424">
      <c r="J424" s="28"/>
      <c r="K424" s="28"/>
    </row>
    <row r="425">
      <c r="J425" s="28"/>
      <c r="K425" s="28"/>
    </row>
    <row r="426">
      <c r="J426" s="28"/>
      <c r="K426" s="28"/>
    </row>
    <row r="427">
      <c r="J427" s="28"/>
      <c r="K427" s="28"/>
    </row>
    <row r="428">
      <c r="J428" s="28"/>
      <c r="K428" s="28"/>
    </row>
    <row r="429">
      <c r="J429" s="28"/>
      <c r="K429" s="28"/>
    </row>
    <row r="430">
      <c r="J430" s="28"/>
      <c r="K430" s="28"/>
    </row>
    <row r="431">
      <c r="J431" s="28"/>
      <c r="K431" s="28"/>
    </row>
    <row r="432">
      <c r="J432" s="28"/>
      <c r="K432" s="28"/>
    </row>
    <row r="433">
      <c r="J433" s="28"/>
      <c r="K433" s="28"/>
    </row>
    <row r="434">
      <c r="J434" s="28"/>
      <c r="K434" s="28"/>
    </row>
    <row r="435">
      <c r="J435" s="28"/>
      <c r="K435" s="28"/>
    </row>
    <row r="436">
      <c r="J436" s="28"/>
      <c r="K436" s="28"/>
    </row>
    <row r="437">
      <c r="J437" s="28"/>
      <c r="K437" s="28"/>
    </row>
    <row r="438">
      <c r="J438" s="28"/>
      <c r="K438" s="28"/>
    </row>
    <row r="439">
      <c r="J439" s="28"/>
      <c r="K439" s="28"/>
    </row>
    <row r="440">
      <c r="J440" s="28"/>
      <c r="K440" s="28"/>
    </row>
    <row r="441">
      <c r="J441" s="28"/>
      <c r="K441" s="28"/>
    </row>
    <row r="442">
      <c r="J442" s="28"/>
      <c r="K442" s="28"/>
    </row>
    <row r="443">
      <c r="J443" s="28"/>
      <c r="K443" s="28"/>
    </row>
    <row r="444">
      <c r="J444" s="28"/>
      <c r="K444" s="28"/>
    </row>
    <row r="445">
      <c r="J445" s="28"/>
      <c r="K445" s="28"/>
    </row>
    <row r="446">
      <c r="J446" s="28"/>
      <c r="K446" s="28"/>
    </row>
    <row r="447">
      <c r="J447" s="28"/>
      <c r="K447" s="28"/>
    </row>
    <row r="448">
      <c r="J448" s="28"/>
      <c r="K448" s="28"/>
    </row>
    <row r="449">
      <c r="J449" s="28"/>
      <c r="K449" s="28"/>
    </row>
    <row r="450">
      <c r="J450" s="28"/>
      <c r="K450" s="28"/>
    </row>
    <row r="451">
      <c r="J451" s="28"/>
      <c r="K451" s="28"/>
    </row>
    <row r="452">
      <c r="J452" s="28"/>
      <c r="K452" s="28"/>
    </row>
    <row r="453">
      <c r="J453" s="28"/>
      <c r="K453" s="28"/>
    </row>
    <row r="454">
      <c r="J454" s="28"/>
      <c r="K454" s="28"/>
    </row>
    <row r="455">
      <c r="J455" s="28"/>
      <c r="K455" s="28"/>
    </row>
    <row r="456">
      <c r="J456" s="28"/>
      <c r="K456" s="28"/>
    </row>
    <row r="457">
      <c r="J457" s="28"/>
      <c r="K457" s="28"/>
    </row>
    <row r="458">
      <c r="J458" s="28"/>
      <c r="K458" s="28"/>
    </row>
    <row r="459">
      <c r="J459" s="28"/>
      <c r="K459" s="28"/>
    </row>
    <row r="460">
      <c r="J460" s="28"/>
      <c r="K460" s="28"/>
    </row>
    <row r="461">
      <c r="J461" s="28"/>
      <c r="K461" s="28"/>
    </row>
    <row r="462">
      <c r="J462" s="28"/>
      <c r="K462" s="28"/>
    </row>
    <row r="463">
      <c r="J463" s="28"/>
      <c r="K463" s="28"/>
    </row>
    <row r="464">
      <c r="J464" s="28"/>
      <c r="K464" s="28"/>
    </row>
    <row r="465">
      <c r="J465" s="28"/>
      <c r="K465" s="28"/>
    </row>
    <row r="466">
      <c r="J466" s="28"/>
      <c r="K466" s="28"/>
    </row>
    <row r="467">
      <c r="J467" s="28"/>
      <c r="K467" s="28"/>
    </row>
    <row r="468">
      <c r="J468" s="28"/>
      <c r="K468" s="28"/>
    </row>
    <row r="469">
      <c r="J469" s="28"/>
      <c r="K469" s="28"/>
    </row>
    <row r="470">
      <c r="J470" s="28"/>
      <c r="K470" s="28"/>
    </row>
    <row r="471">
      <c r="J471" s="28"/>
      <c r="K471" s="28"/>
    </row>
    <row r="472">
      <c r="J472" s="28"/>
      <c r="K472" s="28"/>
    </row>
    <row r="473">
      <c r="J473" s="28"/>
      <c r="K473" s="28"/>
    </row>
    <row r="474">
      <c r="J474" s="28"/>
      <c r="K474" s="28"/>
    </row>
    <row r="475">
      <c r="J475" s="28"/>
      <c r="K475" s="28"/>
    </row>
    <row r="476">
      <c r="J476" s="28"/>
      <c r="K476" s="28"/>
    </row>
    <row r="477">
      <c r="J477" s="28"/>
      <c r="K477" s="28"/>
    </row>
    <row r="478">
      <c r="J478" s="28"/>
      <c r="K478" s="28"/>
    </row>
    <row r="479">
      <c r="J479" s="28"/>
      <c r="K479" s="28"/>
    </row>
    <row r="480">
      <c r="J480" s="28"/>
      <c r="K480" s="28"/>
    </row>
    <row r="481">
      <c r="J481" s="28"/>
      <c r="K481" s="28"/>
    </row>
    <row r="482">
      <c r="J482" s="28"/>
      <c r="K482" s="28"/>
    </row>
    <row r="483">
      <c r="J483" s="28"/>
      <c r="K483" s="28"/>
    </row>
    <row r="484">
      <c r="J484" s="28"/>
      <c r="K484" s="28"/>
    </row>
    <row r="485">
      <c r="J485" s="28"/>
      <c r="K485" s="28"/>
    </row>
    <row r="486">
      <c r="J486" s="28"/>
      <c r="K486" s="28"/>
    </row>
    <row r="487">
      <c r="J487" s="28"/>
      <c r="K487" s="28"/>
    </row>
    <row r="488">
      <c r="J488" s="28"/>
      <c r="K488" s="28"/>
    </row>
    <row r="489">
      <c r="J489" s="28"/>
      <c r="K489" s="28"/>
    </row>
    <row r="490">
      <c r="J490" s="28"/>
      <c r="K490" s="28"/>
    </row>
    <row r="491">
      <c r="J491" s="28"/>
      <c r="K491" s="28"/>
    </row>
    <row r="492">
      <c r="J492" s="28"/>
      <c r="K492" s="28"/>
    </row>
    <row r="493">
      <c r="J493" s="28"/>
      <c r="K493" s="28"/>
    </row>
    <row r="494">
      <c r="J494" s="28"/>
      <c r="K494" s="28"/>
    </row>
    <row r="495">
      <c r="J495" s="28"/>
      <c r="K495" s="28"/>
    </row>
    <row r="496">
      <c r="J496" s="28"/>
      <c r="K496" s="28"/>
    </row>
    <row r="497">
      <c r="J497" s="28"/>
      <c r="K497" s="28"/>
    </row>
    <row r="498">
      <c r="J498" s="28"/>
      <c r="K498" s="28"/>
    </row>
    <row r="499">
      <c r="J499" s="28"/>
      <c r="K499" s="28"/>
    </row>
    <row r="500">
      <c r="J500" s="28"/>
      <c r="K500" s="28"/>
    </row>
    <row r="501">
      <c r="J501" s="28"/>
      <c r="K501" s="28"/>
    </row>
    <row r="502">
      <c r="J502" s="28"/>
      <c r="K502" s="28"/>
    </row>
    <row r="503">
      <c r="J503" s="28"/>
      <c r="K503" s="28"/>
    </row>
    <row r="504">
      <c r="J504" s="28"/>
      <c r="K504" s="28"/>
    </row>
    <row r="505">
      <c r="J505" s="28"/>
      <c r="K505" s="28"/>
    </row>
    <row r="506">
      <c r="J506" s="28"/>
      <c r="K506" s="28"/>
    </row>
    <row r="507">
      <c r="J507" s="28"/>
      <c r="K507" s="28"/>
    </row>
    <row r="508">
      <c r="J508" s="28"/>
      <c r="K508" s="28"/>
    </row>
    <row r="509">
      <c r="J509" s="28"/>
      <c r="K509" s="28"/>
    </row>
    <row r="510">
      <c r="J510" s="28"/>
      <c r="K510" s="28"/>
    </row>
    <row r="511">
      <c r="J511" s="28"/>
      <c r="K511" s="28"/>
    </row>
    <row r="512">
      <c r="J512" s="28"/>
      <c r="K512" s="28"/>
    </row>
    <row r="513">
      <c r="J513" s="28"/>
      <c r="K513" s="28"/>
    </row>
    <row r="514">
      <c r="J514" s="28"/>
      <c r="K514" s="28"/>
    </row>
    <row r="515">
      <c r="J515" s="28"/>
      <c r="K515" s="28"/>
    </row>
    <row r="516">
      <c r="J516" s="28"/>
      <c r="K516" s="28"/>
    </row>
    <row r="517">
      <c r="J517" s="28"/>
      <c r="K517" s="28"/>
    </row>
    <row r="518">
      <c r="J518" s="28"/>
      <c r="K518" s="28"/>
    </row>
    <row r="519">
      <c r="J519" s="28"/>
      <c r="K519" s="28"/>
    </row>
    <row r="520">
      <c r="J520" s="28"/>
      <c r="K520" s="28"/>
    </row>
    <row r="521">
      <c r="J521" s="28"/>
      <c r="K521" s="28"/>
    </row>
    <row r="522">
      <c r="J522" s="28"/>
      <c r="K522" s="28"/>
    </row>
    <row r="523">
      <c r="J523" s="28"/>
      <c r="K523" s="28"/>
    </row>
    <row r="524">
      <c r="J524" s="28"/>
      <c r="K524" s="28"/>
    </row>
    <row r="525">
      <c r="J525" s="28"/>
      <c r="K525" s="28"/>
    </row>
    <row r="526">
      <c r="J526" s="28"/>
      <c r="K526" s="28"/>
    </row>
    <row r="527">
      <c r="J527" s="28"/>
      <c r="K527" s="28"/>
    </row>
    <row r="528">
      <c r="J528" s="28"/>
      <c r="K528" s="28"/>
    </row>
    <row r="529">
      <c r="J529" s="28"/>
      <c r="K529" s="28"/>
    </row>
    <row r="530">
      <c r="J530" s="28"/>
      <c r="K530" s="28"/>
    </row>
    <row r="531">
      <c r="J531" s="28"/>
      <c r="K531" s="28"/>
    </row>
    <row r="532">
      <c r="J532" s="28"/>
      <c r="K532" s="28"/>
    </row>
    <row r="533">
      <c r="J533" s="28"/>
      <c r="K533" s="28"/>
    </row>
    <row r="534">
      <c r="J534" s="28"/>
      <c r="K534" s="28"/>
    </row>
    <row r="535">
      <c r="J535" s="28"/>
      <c r="K535" s="28"/>
    </row>
    <row r="536">
      <c r="J536" s="28"/>
      <c r="K536" s="28"/>
    </row>
    <row r="537">
      <c r="J537" s="28"/>
      <c r="K537" s="28"/>
    </row>
    <row r="538">
      <c r="J538" s="28"/>
      <c r="K538" s="28"/>
    </row>
    <row r="539">
      <c r="J539" s="28"/>
      <c r="K539" s="28"/>
    </row>
    <row r="540">
      <c r="J540" s="28"/>
      <c r="K540" s="28"/>
    </row>
    <row r="541">
      <c r="J541" s="28"/>
      <c r="K541" s="28"/>
    </row>
    <row r="542">
      <c r="J542" s="28"/>
      <c r="K542" s="28"/>
    </row>
    <row r="543">
      <c r="J543" s="28"/>
      <c r="K543" s="28"/>
    </row>
    <row r="544">
      <c r="J544" s="28"/>
      <c r="K544" s="28"/>
    </row>
    <row r="545">
      <c r="J545" s="28"/>
      <c r="K545" s="28"/>
    </row>
    <row r="546">
      <c r="J546" s="28"/>
      <c r="K546" s="28"/>
    </row>
    <row r="547">
      <c r="J547" s="28"/>
      <c r="K547" s="28"/>
    </row>
    <row r="548">
      <c r="J548" s="28"/>
      <c r="K548" s="28"/>
    </row>
    <row r="549">
      <c r="J549" s="28"/>
      <c r="K549" s="28"/>
    </row>
    <row r="550">
      <c r="J550" s="28"/>
      <c r="K550" s="28"/>
    </row>
    <row r="551">
      <c r="J551" s="28"/>
      <c r="K551" s="28"/>
    </row>
    <row r="552">
      <c r="J552" s="28"/>
      <c r="K552" s="28"/>
    </row>
    <row r="553">
      <c r="J553" s="28"/>
      <c r="K553" s="28"/>
    </row>
    <row r="554">
      <c r="J554" s="28"/>
      <c r="K554" s="28"/>
    </row>
    <row r="555">
      <c r="J555" s="28"/>
      <c r="K555" s="28"/>
    </row>
    <row r="556">
      <c r="J556" s="28"/>
      <c r="K556" s="28"/>
    </row>
    <row r="557">
      <c r="J557" s="28"/>
      <c r="K557" s="28"/>
    </row>
    <row r="558">
      <c r="J558" s="28"/>
      <c r="K558" s="28"/>
    </row>
    <row r="559">
      <c r="J559" s="28"/>
      <c r="K559" s="28"/>
    </row>
    <row r="560">
      <c r="J560" s="28"/>
      <c r="K560" s="28"/>
    </row>
    <row r="561">
      <c r="J561" s="28"/>
      <c r="K561" s="28"/>
    </row>
    <row r="562">
      <c r="J562" s="28"/>
      <c r="K562" s="28"/>
    </row>
    <row r="563">
      <c r="J563" s="28"/>
      <c r="K563" s="28"/>
    </row>
    <row r="564">
      <c r="J564" s="28"/>
      <c r="K564" s="28"/>
    </row>
    <row r="565">
      <c r="J565" s="28"/>
      <c r="K565" s="28"/>
    </row>
    <row r="566">
      <c r="J566" s="28"/>
      <c r="K566" s="28"/>
    </row>
    <row r="567">
      <c r="J567" s="28"/>
      <c r="K567" s="28"/>
    </row>
    <row r="568">
      <c r="J568" s="28"/>
      <c r="K568" s="28"/>
    </row>
    <row r="569">
      <c r="J569" s="28"/>
      <c r="K569" s="28"/>
    </row>
    <row r="570">
      <c r="J570" s="28"/>
      <c r="K570" s="28"/>
    </row>
    <row r="571">
      <c r="J571" s="28"/>
      <c r="K571" s="28"/>
    </row>
    <row r="572">
      <c r="J572" s="28"/>
      <c r="K572" s="28"/>
    </row>
    <row r="573">
      <c r="J573" s="28"/>
      <c r="K573" s="28"/>
    </row>
    <row r="574">
      <c r="J574" s="28"/>
      <c r="K574" s="28"/>
    </row>
    <row r="575">
      <c r="J575" s="28"/>
      <c r="K575" s="28"/>
    </row>
    <row r="576">
      <c r="J576" s="28"/>
      <c r="K576" s="28"/>
    </row>
    <row r="577">
      <c r="J577" s="28"/>
      <c r="K577" s="28"/>
    </row>
    <row r="578">
      <c r="J578" s="28"/>
      <c r="K578" s="28"/>
    </row>
    <row r="579">
      <c r="J579" s="28"/>
      <c r="K579" s="28"/>
    </row>
    <row r="580">
      <c r="J580" s="28"/>
      <c r="K580" s="28"/>
    </row>
    <row r="581">
      <c r="J581" s="28"/>
      <c r="K581" s="28"/>
    </row>
    <row r="582">
      <c r="J582" s="28"/>
      <c r="K582" s="28"/>
    </row>
    <row r="583">
      <c r="J583" s="28"/>
      <c r="K583" s="28"/>
    </row>
    <row r="584">
      <c r="J584" s="28"/>
      <c r="K584" s="28"/>
    </row>
    <row r="585">
      <c r="J585" s="28"/>
      <c r="K585" s="28"/>
    </row>
    <row r="586">
      <c r="J586" s="28"/>
      <c r="K586" s="28"/>
    </row>
    <row r="587">
      <c r="J587" s="28"/>
      <c r="K587" s="28"/>
    </row>
    <row r="588">
      <c r="J588" s="28"/>
      <c r="K588" s="28"/>
    </row>
    <row r="589">
      <c r="J589" s="28"/>
      <c r="K589" s="28"/>
    </row>
    <row r="590">
      <c r="J590" s="28"/>
      <c r="K590" s="28"/>
    </row>
    <row r="591">
      <c r="J591" s="28"/>
      <c r="K591" s="28"/>
    </row>
    <row r="592">
      <c r="J592" s="28"/>
      <c r="K592" s="28"/>
    </row>
    <row r="593">
      <c r="J593" s="28"/>
      <c r="K593" s="28"/>
    </row>
    <row r="594">
      <c r="J594" s="28"/>
      <c r="K594" s="28"/>
    </row>
    <row r="595">
      <c r="J595" s="28"/>
      <c r="K595" s="28"/>
    </row>
    <row r="596">
      <c r="J596" s="28"/>
      <c r="K596" s="28"/>
    </row>
    <row r="597">
      <c r="J597" s="28"/>
      <c r="K597" s="28"/>
    </row>
    <row r="598">
      <c r="J598" s="28"/>
      <c r="K598" s="28"/>
    </row>
    <row r="599">
      <c r="J599" s="28"/>
      <c r="K599" s="28"/>
    </row>
    <row r="600">
      <c r="J600" s="28"/>
      <c r="K600" s="28"/>
    </row>
    <row r="601">
      <c r="J601" s="28"/>
      <c r="K601" s="28"/>
    </row>
    <row r="602">
      <c r="J602" s="28"/>
      <c r="K602" s="28"/>
    </row>
    <row r="603">
      <c r="J603" s="28"/>
      <c r="K603" s="28"/>
    </row>
    <row r="604">
      <c r="J604" s="28"/>
      <c r="K604" s="28"/>
    </row>
    <row r="605">
      <c r="J605" s="28"/>
      <c r="K605" s="28"/>
    </row>
    <row r="606">
      <c r="J606" s="28"/>
      <c r="K606" s="28"/>
    </row>
    <row r="607">
      <c r="J607" s="28"/>
      <c r="K607" s="28"/>
    </row>
    <row r="608">
      <c r="J608" s="28"/>
      <c r="K608" s="28"/>
    </row>
    <row r="609">
      <c r="J609" s="28"/>
      <c r="K609" s="28"/>
    </row>
    <row r="610">
      <c r="J610" s="28"/>
      <c r="K610" s="28"/>
    </row>
    <row r="611">
      <c r="J611" s="28"/>
      <c r="K611" s="28"/>
    </row>
    <row r="612">
      <c r="J612" s="28"/>
      <c r="K612" s="28"/>
    </row>
    <row r="613">
      <c r="J613" s="28"/>
      <c r="K613" s="28"/>
    </row>
    <row r="614">
      <c r="J614" s="28"/>
      <c r="K614" s="28"/>
    </row>
    <row r="615">
      <c r="J615" s="28"/>
      <c r="K615" s="28"/>
    </row>
    <row r="616">
      <c r="J616" s="28"/>
      <c r="K616" s="28"/>
    </row>
    <row r="617">
      <c r="J617" s="28"/>
      <c r="K617" s="28"/>
    </row>
    <row r="618">
      <c r="J618" s="28"/>
      <c r="K618" s="28"/>
    </row>
    <row r="619">
      <c r="J619" s="28"/>
      <c r="K619" s="28"/>
    </row>
    <row r="620">
      <c r="J620" s="28"/>
      <c r="K620" s="28"/>
    </row>
    <row r="621">
      <c r="J621" s="28"/>
      <c r="K621" s="28"/>
    </row>
    <row r="622">
      <c r="J622" s="28"/>
      <c r="K622" s="28"/>
    </row>
    <row r="623">
      <c r="J623" s="28"/>
      <c r="K623" s="28"/>
    </row>
    <row r="624">
      <c r="J624" s="28"/>
      <c r="K624" s="28"/>
    </row>
    <row r="625">
      <c r="J625" s="28"/>
      <c r="K625" s="28"/>
    </row>
    <row r="626">
      <c r="J626" s="28"/>
      <c r="K626" s="28"/>
    </row>
    <row r="627">
      <c r="J627" s="28"/>
      <c r="K627" s="28"/>
    </row>
    <row r="628">
      <c r="J628" s="28"/>
      <c r="K628" s="28"/>
    </row>
    <row r="629">
      <c r="J629" s="28"/>
      <c r="K629" s="28"/>
    </row>
    <row r="630">
      <c r="J630" s="28"/>
      <c r="K630" s="28"/>
    </row>
    <row r="631">
      <c r="J631" s="28"/>
      <c r="K631" s="28"/>
    </row>
    <row r="632">
      <c r="J632" s="28"/>
      <c r="K632" s="28"/>
    </row>
    <row r="633">
      <c r="J633" s="28"/>
      <c r="K633" s="28"/>
    </row>
    <row r="634">
      <c r="J634" s="28"/>
      <c r="K634" s="28"/>
    </row>
    <row r="635">
      <c r="J635" s="28"/>
      <c r="K635" s="28"/>
    </row>
    <row r="636">
      <c r="J636" s="28"/>
      <c r="K636" s="28"/>
    </row>
    <row r="637">
      <c r="J637" s="28"/>
      <c r="K637" s="28"/>
    </row>
    <row r="638">
      <c r="J638" s="28"/>
      <c r="K638" s="28"/>
    </row>
    <row r="639">
      <c r="J639" s="28"/>
      <c r="K639" s="28"/>
    </row>
    <row r="640">
      <c r="J640" s="28"/>
      <c r="K640" s="28"/>
    </row>
    <row r="641">
      <c r="J641" s="28"/>
      <c r="K641" s="28"/>
    </row>
    <row r="642">
      <c r="J642" s="28"/>
      <c r="K642" s="28"/>
    </row>
    <row r="643">
      <c r="J643" s="28"/>
      <c r="K643" s="28"/>
    </row>
    <row r="644">
      <c r="J644" s="28"/>
      <c r="K644" s="28"/>
    </row>
    <row r="645">
      <c r="J645" s="28"/>
      <c r="K645" s="28"/>
    </row>
    <row r="646">
      <c r="J646" s="28"/>
      <c r="K646" s="28"/>
    </row>
    <row r="647">
      <c r="J647" s="28"/>
      <c r="K647" s="28"/>
    </row>
    <row r="648">
      <c r="J648" s="28"/>
      <c r="K648" s="28"/>
    </row>
    <row r="649">
      <c r="J649" s="28"/>
      <c r="K649" s="28"/>
    </row>
    <row r="650">
      <c r="J650" s="28"/>
      <c r="K650" s="28"/>
    </row>
    <row r="651">
      <c r="J651" s="28"/>
      <c r="K651" s="28"/>
    </row>
    <row r="652">
      <c r="J652" s="28"/>
      <c r="K652" s="28"/>
    </row>
    <row r="653">
      <c r="J653" s="28"/>
      <c r="K653" s="28"/>
    </row>
    <row r="654">
      <c r="J654" s="28"/>
      <c r="K654" s="28"/>
    </row>
    <row r="655">
      <c r="J655" s="28"/>
      <c r="K655" s="28"/>
    </row>
    <row r="656">
      <c r="J656" s="28"/>
      <c r="K656" s="28"/>
    </row>
    <row r="657">
      <c r="J657" s="28"/>
      <c r="K657" s="28"/>
    </row>
    <row r="658">
      <c r="J658" s="28"/>
      <c r="K658" s="28"/>
    </row>
    <row r="659">
      <c r="J659" s="28"/>
      <c r="K659" s="28"/>
    </row>
    <row r="660">
      <c r="J660" s="28"/>
      <c r="K660" s="28"/>
    </row>
    <row r="661">
      <c r="J661" s="28"/>
      <c r="K661" s="28"/>
    </row>
    <row r="662">
      <c r="J662" s="28"/>
      <c r="K662" s="28"/>
    </row>
    <row r="663">
      <c r="J663" s="28"/>
      <c r="K663" s="28"/>
    </row>
    <row r="664">
      <c r="J664" s="28"/>
      <c r="K664" s="28"/>
    </row>
    <row r="665">
      <c r="J665" s="28"/>
      <c r="K665" s="28"/>
    </row>
    <row r="666">
      <c r="J666" s="28"/>
      <c r="K666" s="28"/>
    </row>
    <row r="667">
      <c r="J667" s="28"/>
      <c r="K667" s="28"/>
    </row>
    <row r="668">
      <c r="J668" s="28"/>
      <c r="K668" s="28"/>
    </row>
    <row r="669">
      <c r="J669" s="28"/>
      <c r="K669" s="28"/>
    </row>
    <row r="670">
      <c r="J670" s="28"/>
      <c r="K670" s="28"/>
    </row>
    <row r="671">
      <c r="J671" s="28"/>
      <c r="K671" s="28"/>
    </row>
    <row r="672">
      <c r="J672" s="28"/>
      <c r="K672" s="28"/>
    </row>
    <row r="673">
      <c r="J673" s="28"/>
      <c r="K673" s="28"/>
    </row>
    <row r="674">
      <c r="J674" s="28"/>
      <c r="K674" s="28"/>
    </row>
    <row r="675">
      <c r="J675" s="28"/>
      <c r="K675" s="28"/>
    </row>
    <row r="676">
      <c r="J676" s="28"/>
      <c r="K676" s="28"/>
    </row>
    <row r="677">
      <c r="J677" s="28"/>
      <c r="K677" s="28"/>
    </row>
    <row r="678">
      <c r="J678" s="28"/>
      <c r="K678" s="28"/>
    </row>
    <row r="679">
      <c r="J679" s="28"/>
      <c r="K679" s="28"/>
    </row>
    <row r="680">
      <c r="J680" s="28"/>
      <c r="K680" s="28"/>
    </row>
    <row r="681">
      <c r="J681" s="28"/>
      <c r="K681" s="28"/>
    </row>
    <row r="682">
      <c r="J682" s="28"/>
      <c r="K682" s="28"/>
    </row>
    <row r="683">
      <c r="J683" s="28"/>
      <c r="K683" s="28"/>
    </row>
    <row r="684">
      <c r="J684" s="28"/>
      <c r="K684" s="28"/>
    </row>
    <row r="685">
      <c r="J685" s="28"/>
      <c r="K685" s="28"/>
    </row>
    <row r="686">
      <c r="J686" s="28"/>
      <c r="K686" s="28"/>
    </row>
    <row r="687">
      <c r="J687" s="28"/>
      <c r="K687" s="28"/>
    </row>
    <row r="688">
      <c r="J688" s="28"/>
      <c r="K688" s="28"/>
    </row>
    <row r="689">
      <c r="J689" s="28"/>
      <c r="K689" s="28"/>
    </row>
    <row r="690">
      <c r="J690" s="28"/>
      <c r="K690" s="28"/>
    </row>
    <row r="691">
      <c r="J691" s="28"/>
      <c r="K691" s="28"/>
    </row>
    <row r="692">
      <c r="J692" s="28"/>
      <c r="K692" s="28"/>
    </row>
    <row r="693">
      <c r="J693" s="28"/>
      <c r="K693" s="28"/>
    </row>
    <row r="694">
      <c r="J694" s="28"/>
      <c r="K694" s="28"/>
    </row>
    <row r="695">
      <c r="J695" s="28"/>
      <c r="K695" s="28"/>
    </row>
    <row r="696">
      <c r="J696" s="28"/>
      <c r="K696" s="28"/>
    </row>
    <row r="697">
      <c r="J697" s="28"/>
      <c r="K697" s="28"/>
    </row>
    <row r="698">
      <c r="J698" s="28"/>
      <c r="K698" s="28"/>
    </row>
    <row r="699">
      <c r="J699" s="28"/>
      <c r="K699" s="28"/>
    </row>
    <row r="700">
      <c r="J700" s="28"/>
      <c r="K700" s="28"/>
    </row>
    <row r="701">
      <c r="J701" s="28"/>
      <c r="K701" s="28"/>
    </row>
    <row r="702">
      <c r="J702" s="28"/>
      <c r="K702" s="28"/>
    </row>
    <row r="703">
      <c r="J703" s="28"/>
      <c r="K703" s="28"/>
    </row>
    <row r="704">
      <c r="J704" s="28"/>
      <c r="K704" s="28"/>
    </row>
    <row r="705">
      <c r="J705" s="28"/>
      <c r="K705" s="28"/>
    </row>
    <row r="706">
      <c r="J706" s="28"/>
      <c r="K706" s="28"/>
    </row>
    <row r="707">
      <c r="J707" s="28"/>
      <c r="K707" s="28"/>
    </row>
    <row r="708">
      <c r="J708" s="28"/>
      <c r="K708" s="28"/>
    </row>
    <row r="709">
      <c r="J709" s="28"/>
      <c r="K709" s="28"/>
    </row>
    <row r="710">
      <c r="J710" s="28"/>
      <c r="K710" s="28"/>
    </row>
    <row r="711">
      <c r="J711" s="28"/>
      <c r="K711" s="28"/>
    </row>
    <row r="712">
      <c r="J712" s="28"/>
      <c r="K712" s="28"/>
    </row>
    <row r="713">
      <c r="J713" s="28"/>
      <c r="K713" s="28"/>
    </row>
    <row r="714">
      <c r="J714" s="28"/>
      <c r="K714" s="28"/>
    </row>
    <row r="715">
      <c r="J715" s="28"/>
      <c r="K715" s="28"/>
    </row>
    <row r="716">
      <c r="J716" s="28"/>
      <c r="K716" s="28"/>
    </row>
    <row r="717">
      <c r="J717" s="28"/>
      <c r="K717" s="28"/>
    </row>
    <row r="718">
      <c r="J718" s="28"/>
      <c r="K718" s="28"/>
    </row>
    <row r="719">
      <c r="J719" s="28"/>
      <c r="K719" s="28"/>
    </row>
    <row r="720">
      <c r="J720" s="28"/>
      <c r="K720" s="28"/>
    </row>
    <row r="721">
      <c r="J721" s="28"/>
      <c r="K721" s="28"/>
    </row>
    <row r="722">
      <c r="J722" s="28"/>
      <c r="K722" s="28"/>
    </row>
    <row r="723">
      <c r="J723" s="28"/>
      <c r="K723" s="28"/>
    </row>
    <row r="724">
      <c r="J724" s="28"/>
      <c r="K724" s="28"/>
    </row>
    <row r="725">
      <c r="J725" s="28"/>
      <c r="K725" s="28"/>
    </row>
    <row r="726">
      <c r="J726" s="28"/>
      <c r="K726" s="28"/>
    </row>
    <row r="727">
      <c r="J727" s="28"/>
      <c r="K727" s="28"/>
    </row>
    <row r="728">
      <c r="J728" s="28"/>
      <c r="K728" s="28"/>
    </row>
    <row r="729">
      <c r="J729" s="28"/>
      <c r="K729" s="28"/>
    </row>
    <row r="730">
      <c r="J730" s="28"/>
      <c r="K730" s="28"/>
    </row>
    <row r="731">
      <c r="J731" s="28"/>
      <c r="K731" s="28"/>
    </row>
    <row r="732">
      <c r="J732" s="28"/>
      <c r="K732" s="28"/>
    </row>
    <row r="733">
      <c r="J733" s="28"/>
      <c r="K733" s="28"/>
    </row>
    <row r="734">
      <c r="J734" s="28"/>
      <c r="K734" s="28"/>
    </row>
    <row r="735">
      <c r="J735" s="28"/>
      <c r="K735" s="28"/>
    </row>
    <row r="736">
      <c r="J736" s="28"/>
      <c r="K736" s="28"/>
    </row>
    <row r="737">
      <c r="J737" s="28"/>
      <c r="K737" s="28"/>
    </row>
    <row r="738">
      <c r="J738" s="28"/>
      <c r="K738" s="28"/>
    </row>
    <row r="739">
      <c r="J739" s="28"/>
      <c r="K739" s="28"/>
    </row>
    <row r="740">
      <c r="J740" s="28"/>
      <c r="K740" s="28"/>
    </row>
    <row r="741">
      <c r="J741" s="28"/>
      <c r="K741" s="28"/>
    </row>
    <row r="742">
      <c r="J742" s="28"/>
      <c r="K742" s="28"/>
    </row>
    <row r="743">
      <c r="J743" s="28"/>
      <c r="K743" s="28"/>
    </row>
    <row r="744">
      <c r="J744" s="28"/>
      <c r="K744" s="28"/>
    </row>
    <row r="745">
      <c r="J745" s="28"/>
      <c r="K745" s="28"/>
    </row>
    <row r="746">
      <c r="J746" s="28"/>
      <c r="K746" s="28"/>
    </row>
    <row r="747">
      <c r="J747" s="28"/>
      <c r="K747" s="28"/>
    </row>
    <row r="748">
      <c r="J748" s="28"/>
      <c r="K748" s="28"/>
    </row>
    <row r="749">
      <c r="J749" s="28"/>
      <c r="K749" s="28"/>
    </row>
    <row r="750">
      <c r="J750" s="28"/>
      <c r="K750" s="28"/>
    </row>
    <row r="751">
      <c r="J751" s="28"/>
      <c r="K751" s="28"/>
    </row>
    <row r="752">
      <c r="J752" s="28"/>
      <c r="K752" s="28"/>
    </row>
    <row r="753">
      <c r="J753" s="28"/>
      <c r="K753" s="28"/>
    </row>
    <row r="754">
      <c r="J754" s="28"/>
      <c r="K754" s="28"/>
    </row>
    <row r="755">
      <c r="J755" s="28"/>
      <c r="K755" s="28"/>
    </row>
    <row r="756">
      <c r="J756" s="28"/>
      <c r="K756" s="28"/>
    </row>
    <row r="757">
      <c r="J757" s="28"/>
      <c r="K757" s="28"/>
    </row>
    <row r="758">
      <c r="J758" s="28"/>
      <c r="K758" s="28"/>
    </row>
    <row r="759">
      <c r="J759" s="28"/>
      <c r="K759" s="28"/>
    </row>
    <row r="760">
      <c r="J760" s="28"/>
      <c r="K760" s="28"/>
    </row>
    <row r="761">
      <c r="J761" s="28"/>
      <c r="K761" s="28"/>
    </row>
    <row r="762">
      <c r="J762" s="28"/>
      <c r="K762" s="28"/>
    </row>
    <row r="763">
      <c r="J763" s="28"/>
      <c r="K763" s="28"/>
    </row>
    <row r="764">
      <c r="J764" s="28"/>
      <c r="K764" s="28"/>
    </row>
    <row r="765">
      <c r="J765" s="28"/>
      <c r="K765" s="28"/>
    </row>
    <row r="766">
      <c r="J766" s="28"/>
      <c r="K766" s="28"/>
    </row>
    <row r="767">
      <c r="J767" s="28"/>
      <c r="K767" s="28"/>
    </row>
    <row r="768">
      <c r="J768" s="28"/>
      <c r="K768" s="28"/>
    </row>
    <row r="769">
      <c r="J769" s="28"/>
      <c r="K769" s="28"/>
    </row>
    <row r="770">
      <c r="J770" s="28"/>
      <c r="K770" s="28"/>
    </row>
    <row r="771">
      <c r="J771" s="28"/>
      <c r="K771" s="28"/>
    </row>
    <row r="772">
      <c r="J772" s="28"/>
      <c r="K772" s="28"/>
    </row>
    <row r="773">
      <c r="J773" s="28"/>
      <c r="K773" s="28"/>
    </row>
    <row r="774">
      <c r="J774" s="28"/>
      <c r="K774" s="28"/>
    </row>
    <row r="775">
      <c r="J775" s="28"/>
      <c r="K775" s="28"/>
    </row>
    <row r="776">
      <c r="J776" s="28"/>
      <c r="K776" s="28"/>
    </row>
    <row r="777">
      <c r="J777" s="28"/>
      <c r="K777" s="28"/>
    </row>
    <row r="778">
      <c r="J778" s="28"/>
      <c r="K778" s="28"/>
    </row>
    <row r="779">
      <c r="J779" s="28"/>
      <c r="K779" s="28"/>
    </row>
    <row r="780">
      <c r="J780" s="28"/>
      <c r="K780" s="28"/>
    </row>
    <row r="781">
      <c r="J781" s="28"/>
      <c r="K781" s="28"/>
    </row>
    <row r="782">
      <c r="J782" s="28"/>
      <c r="K782" s="28"/>
    </row>
    <row r="783">
      <c r="J783" s="28"/>
      <c r="K783" s="28"/>
    </row>
    <row r="784">
      <c r="J784" s="28"/>
      <c r="K784" s="28"/>
    </row>
    <row r="785">
      <c r="J785" s="28"/>
      <c r="K785" s="28"/>
    </row>
    <row r="786">
      <c r="J786" s="28"/>
      <c r="K786" s="28"/>
    </row>
    <row r="787">
      <c r="J787" s="28"/>
      <c r="K787" s="28"/>
    </row>
    <row r="788">
      <c r="J788" s="28"/>
      <c r="K788" s="28"/>
    </row>
    <row r="789">
      <c r="J789" s="28"/>
      <c r="K789" s="28"/>
    </row>
    <row r="790">
      <c r="J790" s="28"/>
      <c r="K790" s="28"/>
    </row>
    <row r="791">
      <c r="J791" s="28"/>
      <c r="K791" s="28"/>
    </row>
    <row r="792">
      <c r="J792" s="28"/>
      <c r="K792" s="28"/>
    </row>
    <row r="793">
      <c r="J793" s="28"/>
      <c r="K793" s="28"/>
    </row>
    <row r="794">
      <c r="J794" s="28"/>
      <c r="K794" s="28"/>
    </row>
    <row r="795">
      <c r="J795" s="28"/>
      <c r="K795" s="28"/>
    </row>
    <row r="796">
      <c r="J796" s="28"/>
      <c r="K796" s="28"/>
    </row>
    <row r="797">
      <c r="J797" s="28"/>
      <c r="K797" s="28"/>
    </row>
    <row r="798">
      <c r="J798" s="28"/>
      <c r="K798" s="28"/>
    </row>
    <row r="799">
      <c r="J799" s="28"/>
      <c r="K799" s="28"/>
    </row>
    <row r="800">
      <c r="J800" s="28"/>
      <c r="K800" s="28"/>
    </row>
    <row r="801">
      <c r="J801" s="28"/>
      <c r="K801" s="28"/>
    </row>
    <row r="802">
      <c r="J802" s="28"/>
      <c r="K802" s="28"/>
    </row>
    <row r="803">
      <c r="J803" s="28"/>
      <c r="K803" s="28"/>
    </row>
    <row r="804">
      <c r="J804" s="28"/>
      <c r="K804" s="28"/>
    </row>
    <row r="805">
      <c r="J805" s="28"/>
      <c r="K805" s="28"/>
    </row>
    <row r="806">
      <c r="J806" s="28"/>
      <c r="K806" s="28"/>
    </row>
    <row r="807">
      <c r="J807" s="28"/>
      <c r="K807" s="28"/>
    </row>
    <row r="808">
      <c r="J808" s="28"/>
      <c r="K808" s="28"/>
    </row>
    <row r="809">
      <c r="J809" s="28"/>
      <c r="K809" s="28"/>
    </row>
    <row r="810">
      <c r="J810" s="28"/>
      <c r="K810" s="28"/>
    </row>
    <row r="811">
      <c r="J811" s="28"/>
      <c r="K811" s="28"/>
    </row>
    <row r="812">
      <c r="J812" s="28"/>
      <c r="K812" s="28"/>
    </row>
    <row r="813">
      <c r="J813" s="28"/>
      <c r="K813" s="28"/>
    </row>
    <row r="814">
      <c r="J814" s="28"/>
      <c r="K814" s="28"/>
    </row>
    <row r="815">
      <c r="J815" s="28"/>
      <c r="K815" s="28"/>
    </row>
    <row r="816">
      <c r="J816" s="28"/>
      <c r="K816" s="28"/>
    </row>
    <row r="817">
      <c r="J817" s="28"/>
      <c r="K817" s="28"/>
    </row>
    <row r="818">
      <c r="J818" s="28"/>
      <c r="K818" s="28"/>
    </row>
    <row r="819">
      <c r="J819" s="28"/>
      <c r="K819" s="28"/>
    </row>
    <row r="820">
      <c r="J820" s="28"/>
      <c r="K820" s="28"/>
    </row>
    <row r="821">
      <c r="J821" s="28"/>
      <c r="K821" s="28"/>
    </row>
    <row r="822">
      <c r="J822" s="28"/>
      <c r="K822" s="28"/>
    </row>
    <row r="823">
      <c r="J823" s="28"/>
      <c r="K823" s="28"/>
    </row>
    <row r="824">
      <c r="J824" s="28"/>
      <c r="K824" s="28"/>
    </row>
    <row r="825">
      <c r="J825" s="28"/>
      <c r="K825" s="28"/>
    </row>
    <row r="826">
      <c r="J826" s="28"/>
      <c r="K826" s="28"/>
    </row>
    <row r="827">
      <c r="J827" s="28"/>
      <c r="K827" s="28"/>
    </row>
    <row r="828">
      <c r="J828" s="28"/>
      <c r="K828" s="28"/>
    </row>
    <row r="829">
      <c r="J829" s="28"/>
      <c r="K829" s="28"/>
    </row>
    <row r="830">
      <c r="J830" s="28"/>
      <c r="K830" s="28"/>
    </row>
    <row r="831">
      <c r="J831" s="28"/>
      <c r="K831" s="28"/>
    </row>
    <row r="832">
      <c r="J832" s="28"/>
      <c r="K832" s="28"/>
    </row>
    <row r="833">
      <c r="J833" s="28"/>
      <c r="K833" s="28"/>
    </row>
    <row r="834">
      <c r="J834" s="28"/>
      <c r="K834" s="28"/>
    </row>
    <row r="835">
      <c r="J835" s="28"/>
      <c r="K835" s="28"/>
    </row>
    <row r="836">
      <c r="J836" s="28"/>
      <c r="K836" s="28"/>
    </row>
    <row r="837">
      <c r="J837" s="28"/>
      <c r="K837" s="28"/>
    </row>
    <row r="838">
      <c r="J838" s="28"/>
      <c r="K838" s="28"/>
    </row>
    <row r="839">
      <c r="J839" s="28"/>
      <c r="K839" s="28"/>
    </row>
    <row r="840">
      <c r="J840" s="28"/>
      <c r="K840" s="28"/>
    </row>
    <row r="841">
      <c r="J841" s="28"/>
      <c r="K841" s="28"/>
    </row>
    <row r="842">
      <c r="J842" s="28"/>
      <c r="K842" s="28"/>
    </row>
    <row r="843">
      <c r="J843" s="28"/>
      <c r="K843" s="28"/>
    </row>
    <row r="844">
      <c r="J844" s="28"/>
      <c r="K844" s="28"/>
    </row>
    <row r="845">
      <c r="J845" s="28"/>
      <c r="K845" s="28"/>
    </row>
    <row r="846">
      <c r="J846" s="28"/>
      <c r="K846" s="28"/>
    </row>
    <row r="847">
      <c r="J847" s="28"/>
      <c r="K847" s="28"/>
    </row>
    <row r="848">
      <c r="J848" s="28"/>
      <c r="K848" s="28"/>
    </row>
    <row r="849">
      <c r="J849" s="28"/>
      <c r="K849" s="28"/>
    </row>
    <row r="850">
      <c r="J850" s="28"/>
      <c r="K850" s="28"/>
    </row>
    <row r="851">
      <c r="J851" s="28"/>
      <c r="K851" s="28"/>
    </row>
    <row r="852">
      <c r="J852" s="28"/>
      <c r="K852" s="28"/>
    </row>
    <row r="853">
      <c r="J853" s="28"/>
      <c r="K853" s="28"/>
    </row>
    <row r="854">
      <c r="J854" s="28"/>
      <c r="K854" s="28"/>
    </row>
    <row r="855">
      <c r="J855" s="28"/>
      <c r="K855" s="28"/>
    </row>
    <row r="856">
      <c r="J856" s="28"/>
      <c r="K856" s="28"/>
    </row>
    <row r="857">
      <c r="J857" s="28"/>
      <c r="K857" s="28"/>
    </row>
    <row r="858">
      <c r="J858" s="28"/>
      <c r="K858" s="28"/>
    </row>
    <row r="859">
      <c r="J859" s="28"/>
      <c r="K859" s="28"/>
    </row>
    <row r="860">
      <c r="J860" s="28"/>
      <c r="K860" s="28"/>
    </row>
    <row r="861">
      <c r="J861" s="28"/>
      <c r="K861" s="28"/>
    </row>
    <row r="862">
      <c r="J862" s="28"/>
      <c r="K862" s="28"/>
    </row>
    <row r="863">
      <c r="J863" s="28"/>
      <c r="K863" s="28"/>
    </row>
    <row r="864">
      <c r="J864" s="28"/>
      <c r="K864" s="28"/>
    </row>
    <row r="865">
      <c r="J865" s="28"/>
      <c r="K865" s="28"/>
    </row>
    <row r="866">
      <c r="J866" s="28"/>
      <c r="K866" s="28"/>
    </row>
    <row r="867">
      <c r="J867" s="28"/>
      <c r="K867" s="28"/>
    </row>
    <row r="868">
      <c r="J868" s="28"/>
      <c r="K868" s="28"/>
    </row>
    <row r="869">
      <c r="J869" s="28"/>
      <c r="K869" s="28"/>
    </row>
    <row r="870">
      <c r="J870" s="28"/>
      <c r="K870" s="28"/>
    </row>
    <row r="871">
      <c r="J871" s="28"/>
      <c r="K871" s="28"/>
    </row>
    <row r="872">
      <c r="J872" s="28"/>
      <c r="K872" s="28"/>
    </row>
    <row r="873">
      <c r="J873" s="28"/>
      <c r="K873" s="28"/>
    </row>
    <row r="874">
      <c r="J874" s="28"/>
      <c r="K874" s="28"/>
    </row>
    <row r="875">
      <c r="J875" s="28"/>
      <c r="K875" s="28"/>
    </row>
    <row r="876">
      <c r="J876" s="28"/>
      <c r="K876" s="28"/>
    </row>
    <row r="877">
      <c r="J877" s="28"/>
      <c r="K877" s="28"/>
    </row>
    <row r="878">
      <c r="J878" s="28"/>
      <c r="K878" s="28"/>
    </row>
    <row r="879">
      <c r="J879" s="28"/>
      <c r="K879" s="28"/>
    </row>
    <row r="880">
      <c r="J880" s="28"/>
      <c r="K880" s="28"/>
    </row>
    <row r="881">
      <c r="J881" s="28"/>
      <c r="K881" s="28"/>
    </row>
    <row r="882">
      <c r="J882" s="28"/>
      <c r="K882" s="28"/>
    </row>
    <row r="883">
      <c r="J883" s="28"/>
      <c r="K883" s="28"/>
    </row>
    <row r="884">
      <c r="J884" s="28"/>
      <c r="K884" s="28"/>
    </row>
    <row r="885">
      <c r="J885" s="28"/>
      <c r="K885" s="28"/>
    </row>
    <row r="886">
      <c r="J886" s="28"/>
      <c r="K886" s="28"/>
    </row>
    <row r="887">
      <c r="J887" s="28"/>
      <c r="K887" s="28"/>
    </row>
    <row r="888">
      <c r="J888" s="28"/>
      <c r="K888" s="28"/>
    </row>
    <row r="889">
      <c r="J889" s="28"/>
      <c r="K889" s="28"/>
    </row>
    <row r="890">
      <c r="J890" s="28"/>
      <c r="K890" s="28"/>
    </row>
    <row r="891">
      <c r="J891" s="28"/>
      <c r="K891" s="28"/>
    </row>
    <row r="892">
      <c r="J892" s="28"/>
      <c r="K892" s="28"/>
    </row>
    <row r="893">
      <c r="J893" s="28"/>
      <c r="K893" s="28"/>
    </row>
    <row r="894">
      <c r="J894" s="28"/>
      <c r="K894" s="28"/>
    </row>
    <row r="895">
      <c r="J895" s="28"/>
      <c r="K895" s="28"/>
    </row>
    <row r="896">
      <c r="J896" s="28"/>
      <c r="K896" s="28"/>
    </row>
    <row r="897">
      <c r="J897" s="28"/>
      <c r="K897" s="28"/>
    </row>
    <row r="898">
      <c r="J898" s="28"/>
      <c r="K898" s="28"/>
    </row>
    <row r="899">
      <c r="J899" s="28"/>
      <c r="K899" s="28"/>
    </row>
    <row r="900">
      <c r="J900" s="28"/>
      <c r="K900" s="28"/>
    </row>
    <row r="901">
      <c r="J901" s="28"/>
      <c r="K901" s="28"/>
    </row>
    <row r="902">
      <c r="J902" s="28"/>
      <c r="K902" s="28"/>
    </row>
    <row r="903">
      <c r="J903" s="28"/>
      <c r="K903" s="28"/>
    </row>
    <row r="904">
      <c r="J904" s="28"/>
      <c r="K904" s="28"/>
    </row>
    <row r="905">
      <c r="J905" s="28"/>
      <c r="K905" s="28"/>
    </row>
    <row r="906">
      <c r="J906" s="28"/>
      <c r="K906" s="28"/>
    </row>
    <row r="907">
      <c r="J907" s="28"/>
      <c r="K907" s="28"/>
    </row>
    <row r="908">
      <c r="J908" s="28"/>
      <c r="K908" s="28"/>
    </row>
    <row r="909">
      <c r="J909" s="28"/>
      <c r="K909" s="28"/>
    </row>
    <row r="910">
      <c r="J910" s="28"/>
      <c r="K910" s="28"/>
    </row>
    <row r="911">
      <c r="J911" s="28"/>
      <c r="K911" s="28"/>
    </row>
    <row r="912">
      <c r="J912" s="28"/>
      <c r="K912" s="28"/>
    </row>
    <row r="913">
      <c r="J913" s="28"/>
      <c r="K913" s="28"/>
    </row>
    <row r="914">
      <c r="J914" s="28"/>
      <c r="K914" s="28"/>
    </row>
    <row r="915">
      <c r="J915" s="28"/>
      <c r="K915" s="28"/>
    </row>
    <row r="916">
      <c r="J916" s="28"/>
      <c r="K916" s="28"/>
    </row>
    <row r="917">
      <c r="J917" s="28"/>
      <c r="K917" s="28"/>
    </row>
    <row r="918">
      <c r="J918" s="28"/>
      <c r="K918" s="28"/>
    </row>
    <row r="919">
      <c r="J919" s="28"/>
      <c r="K919" s="28"/>
    </row>
    <row r="920">
      <c r="J920" s="28"/>
      <c r="K920" s="28"/>
    </row>
    <row r="921">
      <c r="J921" s="28"/>
      <c r="K921" s="28"/>
    </row>
    <row r="922">
      <c r="J922" s="28"/>
      <c r="K922" s="28"/>
    </row>
    <row r="923">
      <c r="J923" s="28"/>
      <c r="K923" s="28"/>
    </row>
    <row r="924">
      <c r="J924" s="28"/>
      <c r="K924" s="28"/>
    </row>
    <row r="925">
      <c r="J925" s="28"/>
      <c r="K925" s="28"/>
    </row>
    <row r="926">
      <c r="J926" s="28"/>
      <c r="K926" s="28"/>
    </row>
    <row r="927">
      <c r="J927" s="28"/>
      <c r="K927" s="28"/>
    </row>
    <row r="928">
      <c r="J928" s="28"/>
      <c r="K928" s="28"/>
    </row>
    <row r="929">
      <c r="J929" s="28"/>
      <c r="K929" s="28"/>
    </row>
    <row r="930">
      <c r="J930" s="28"/>
      <c r="K930" s="28"/>
    </row>
    <row r="931">
      <c r="J931" s="28"/>
      <c r="K931" s="28"/>
    </row>
    <row r="932">
      <c r="J932" s="28"/>
      <c r="K932" s="28"/>
    </row>
    <row r="933">
      <c r="J933" s="28"/>
      <c r="K933" s="28"/>
    </row>
    <row r="934">
      <c r="J934" s="28"/>
      <c r="K934" s="28"/>
    </row>
    <row r="935">
      <c r="J935" s="28"/>
      <c r="K935" s="28"/>
    </row>
    <row r="936">
      <c r="J936" s="28"/>
      <c r="K936" s="28"/>
    </row>
    <row r="937">
      <c r="J937" s="28"/>
      <c r="K937" s="28"/>
    </row>
    <row r="938">
      <c r="J938" s="28"/>
      <c r="K938" s="28"/>
    </row>
    <row r="939">
      <c r="J939" s="28"/>
      <c r="K939" s="28"/>
    </row>
    <row r="940">
      <c r="J940" s="28"/>
      <c r="K940" s="28"/>
    </row>
    <row r="941">
      <c r="J941" s="28"/>
      <c r="K941" s="28"/>
    </row>
    <row r="942">
      <c r="J942" s="28"/>
      <c r="K942" s="28"/>
    </row>
    <row r="943">
      <c r="J943" s="28"/>
      <c r="K943" s="28"/>
    </row>
    <row r="944">
      <c r="J944" s="28"/>
      <c r="K944" s="28"/>
    </row>
    <row r="945">
      <c r="J945" s="28"/>
      <c r="K945" s="28"/>
    </row>
    <row r="946">
      <c r="J946" s="28"/>
      <c r="K946" s="28"/>
    </row>
    <row r="947">
      <c r="J947" s="28"/>
      <c r="K947" s="28"/>
    </row>
    <row r="948">
      <c r="J948" s="28"/>
      <c r="K948" s="28"/>
    </row>
    <row r="949">
      <c r="J949" s="28"/>
      <c r="K949" s="28"/>
    </row>
    <row r="950">
      <c r="J950" s="28"/>
      <c r="K950" s="28"/>
    </row>
    <row r="951">
      <c r="J951" s="28"/>
      <c r="K951" s="28"/>
    </row>
    <row r="952">
      <c r="J952" s="28"/>
      <c r="K952" s="28"/>
    </row>
    <row r="953">
      <c r="J953" s="28"/>
      <c r="K953" s="28"/>
    </row>
    <row r="954">
      <c r="J954" s="28"/>
      <c r="K954" s="28"/>
    </row>
    <row r="955">
      <c r="J955" s="28"/>
      <c r="K955" s="28"/>
    </row>
    <row r="956">
      <c r="J956" s="28"/>
      <c r="K956" s="28"/>
    </row>
    <row r="957">
      <c r="J957" s="28"/>
      <c r="K957" s="28"/>
    </row>
    <row r="958">
      <c r="J958" s="28"/>
      <c r="K958" s="28"/>
    </row>
    <row r="959">
      <c r="J959" s="28"/>
      <c r="K959" s="28"/>
    </row>
    <row r="960">
      <c r="J960" s="28"/>
      <c r="K960" s="28"/>
    </row>
    <row r="961">
      <c r="J961" s="28"/>
      <c r="K961" s="28"/>
    </row>
    <row r="962">
      <c r="J962" s="28"/>
      <c r="K962" s="28"/>
    </row>
    <row r="963">
      <c r="J963" s="28"/>
      <c r="K963" s="28"/>
    </row>
    <row r="964">
      <c r="J964" s="28"/>
      <c r="K964" s="28"/>
    </row>
    <row r="965">
      <c r="J965" s="28"/>
      <c r="K965" s="28"/>
    </row>
    <row r="966">
      <c r="J966" s="28"/>
      <c r="K966" s="28"/>
    </row>
    <row r="967">
      <c r="J967" s="28"/>
      <c r="K967" s="28"/>
    </row>
    <row r="968">
      <c r="J968" s="28"/>
      <c r="K968" s="28"/>
    </row>
    <row r="969">
      <c r="J969" s="28"/>
      <c r="K969" s="28"/>
    </row>
    <row r="970">
      <c r="J970" s="28"/>
      <c r="K970" s="28"/>
    </row>
    <row r="971">
      <c r="J971" s="28"/>
      <c r="K971" s="28"/>
    </row>
    <row r="972">
      <c r="J972" s="28"/>
      <c r="K972" s="28"/>
    </row>
    <row r="973">
      <c r="J973" s="28"/>
      <c r="K973" s="28"/>
    </row>
    <row r="974">
      <c r="J974" s="28"/>
      <c r="K974" s="28"/>
    </row>
    <row r="975">
      <c r="J975" s="28"/>
      <c r="K975" s="28"/>
    </row>
    <row r="976">
      <c r="J976" s="28"/>
      <c r="K976" s="28"/>
    </row>
    <row r="977">
      <c r="J977" s="28"/>
      <c r="K977" s="28"/>
    </row>
    <row r="978">
      <c r="J978" s="28"/>
      <c r="K978" s="28"/>
    </row>
    <row r="979">
      <c r="J979" s="28"/>
      <c r="K979" s="28"/>
    </row>
    <row r="980">
      <c r="J980" s="28"/>
      <c r="K980" s="28"/>
    </row>
    <row r="981">
      <c r="J981" s="28"/>
      <c r="K981" s="28"/>
    </row>
    <row r="982">
      <c r="J982" s="28"/>
      <c r="K982" s="28"/>
    </row>
    <row r="983">
      <c r="J983" s="28"/>
      <c r="K983" s="28"/>
    </row>
    <row r="984">
      <c r="J984" s="28"/>
      <c r="K984" s="28"/>
    </row>
    <row r="985">
      <c r="J985" s="28"/>
      <c r="K985" s="28"/>
    </row>
    <row r="986">
      <c r="J986" s="28"/>
      <c r="K986" s="28"/>
    </row>
    <row r="987">
      <c r="J987" s="28"/>
      <c r="K987" s="28"/>
    </row>
    <row r="988">
      <c r="J988" s="28"/>
      <c r="K988" s="28"/>
    </row>
    <row r="989">
      <c r="J989" s="28"/>
      <c r="K989" s="28"/>
    </row>
    <row r="990">
      <c r="J990" s="28"/>
      <c r="K990" s="28"/>
    </row>
    <row r="991">
      <c r="J991" s="28"/>
      <c r="K991" s="28"/>
    </row>
    <row r="992">
      <c r="J992" s="28"/>
      <c r="K992" s="28"/>
    </row>
    <row r="993">
      <c r="J993" s="28"/>
      <c r="K993" s="28"/>
    </row>
    <row r="994">
      <c r="J994" s="28"/>
      <c r="K994" s="28"/>
    </row>
  </sheetData>
  <conditionalFormatting sqref="A235:H236">
    <cfRule type="expression" dxfId="0" priority="1">
      <formula>$I235="x"</formula>
    </cfRule>
  </conditionalFormatting>
  <conditionalFormatting sqref="A228:H234">
    <cfRule type="expression" dxfId="0" priority="2">
      <formula>$I228="x"</formula>
    </cfRule>
  </conditionalFormatting>
  <conditionalFormatting sqref="A227:H227">
    <cfRule type="expression" dxfId="0" priority="3">
      <formula>$I227="x"</formula>
    </cfRule>
  </conditionalFormatting>
  <conditionalFormatting sqref="A226:H226">
    <cfRule type="expression" dxfId="0" priority="4">
      <formula>$I226="x"</formula>
    </cfRule>
  </conditionalFormatting>
  <conditionalFormatting sqref="A217:H225">
    <cfRule type="expression" dxfId="0" priority="5">
      <formula>$I217="x"</formula>
    </cfRule>
  </conditionalFormatting>
  <conditionalFormatting sqref="A213:H216">
    <cfRule type="expression" dxfId="0" priority="6">
      <formula>$I213="x"</formula>
    </cfRule>
  </conditionalFormatting>
  <conditionalFormatting sqref="A212:H212">
    <cfRule type="expression" dxfId="0" priority="7">
      <formula>$I212="x"</formula>
    </cfRule>
  </conditionalFormatting>
  <conditionalFormatting sqref="A193:H211">
    <cfRule type="expression" dxfId="0" priority="8">
      <formula>$I193="x"</formula>
    </cfRule>
  </conditionalFormatting>
  <conditionalFormatting sqref="A191:H192">
    <cfRule type="expression" dxfId="0" priority="9">
      <formula>$I191="x"</formula>
    </cfRule>
  </conditionalFormatting>
  <conditionalFormatting sqref="A186:H190">
    <cfRule type="expression" dxfId="0" priority="10">
      <formula>$I186="x"</formula>
    </cfRule>
  </conditionalFormatting>
  <conditionalFormatting sqref="A181:H185">
    <cfRule type="expression" dxfId="0" priority="11">
      <formula>$I181="x"</formula>
    </cfRule>
  </conditionalFormatting>
  <conditionalFormatting sqref="A174:H180">
    <cfRule type="expression" dxfId="0" priority="12">
      <formula>$I174="x"</formula>
    </cfRule>
  </conditionalFormatting>
  <conditionalFormatting sqref="A173:H173">
    <cfRule type="expression" dxfId="0" priority="13">
      <formula>$I173="x"</formula>
    </cfRule>
  </conditionalFormatting>
  <conditionalFormatting sqref="A171:H172">
    <cfRule type="expression" dxfId="0" priority="14">
      <formula>$I171="x"</formula>
    </cfRule>
  </conditionalFormatting>
  <conditionalFormatting sqref="A169:H170">
    <cfRule type="expression" dxfId="0" priority="15">
      <formula>$I169="x"</formula>
    </cfRule>
  </conditionalFormatting>
  <conditionalFormatting sqref="A166:H168">
    <cfRule type="expression" dxfId="0" priority="16">
      <formula>$I166="x"</formula>
    </cfRule>
  </conditionalFormatting>
  <conditionalFormatting sqref="A155:H165">
    <cfRule type="expression" dxfId="0" priority="17">
      <formula>$I155="x"</formula>
    </cfRule>
  </conditionalFormatting>
  <conditionalFormatting sqref="A151:H154">
    <cfRule type="expression" dxfId="0" priority="18">
      <formula>$I151="x"</formula>
    </cfRule>
  </conditionalFormatting>
  <conditionalFormatting sqref="A145:H150">
    <cfRule type="expression" dxfId="0" priority="19">
      <formula>$I145="x"</formula>
    </cfRule>
  </conditionalFormatting>
  <conditionalFormatting sqref="A139:H144">
    <cfRule type="expression" dxfId="0" priority="20">
      <formula>$I139="x"</formula>
    </cfRule>
  </conditionalFormatting>
  <conditionalFormatting sqref="A138:H138">
    <cfRule type="expression" dxfId="0" priority="21">
      <formula>$I138="x"</formula>
    </cfRule>
  </conditionalFormatting>
  <conditionalFormatting sqref="A136:H137">
    <cfRule type="expression" dxfId="0" priority="22">
      <formula>$I136="x"</formula>
    </cfRule>
  </conditionalFormatting>
  <conditionalFormatting sqref="A135:H135">
    <cfRule type="expression" dxfId="0" priority="23">
      <formula>$I135="x"</formula>
    </cfRule>
  </conditionalFormatting>
  <conditionalFormatting sqref="A128:H134">
    <cfRule type="expression" dxfId="0" priority="24">
      <formula>$I128="x"</formula>
    </cfRule>
  </conditionalFormatting>
  <conditionalFormatting sqref="A125:H127">
    <cfRule type="expression" dxfId="0" priority="25">
      <formula>$I125="x"</formula>
    </cfRule>
  </conditionalFormatting>
  <conditionalFormatting sqref="A121:H124">
    <cfRule type="expression" dxfId="0" priority="26">
      <formula>$I121="x"</formula>
    </cfRule>
  </conditionalFormatting>
  <conditionalFormatting sqref="A118:H120">
    <cfRule type="expression" dxfId="0" priority="27">
      <formula>$I118="x"</formula>
    </cfRule>
  </conditionalFormatting>
  <conditionalFormatting sqref="A117:H117">
    <cfRule type="expression" dxfId="0" priority="28">
      <formula>$I117="x"</formula>
    </cfRule>
  </conditionalFormatting>
  <conditionalFormatting sqref="A114:H116">
    <cfRule type="expression" dxfId="0" priority="29">
      <formula>$I114="x"</formula>
    </cfRule>
  </conditionalFormatting>
  <conditionalFormatting sqref="A113:H113">
    <cfRule type="expression" dxfId="0" priority="30">
      <formula>$I113="x"</formula>
    </cfRule>
  </conditionalFormatting>
  <conditionalFormatting sqref="A110:H112">
    <cfRule type="expression" dxfId="0" priority="31">
      <formula>$I110="x"</formula>
    </cfRule>
  </conditionalFormatting>
  <conditionalFormatting sqref="A106:H109">
    <cfRule type="expression" dxfId="0" priority="32">
      <formula>$I106="x"</formula>
    </cfRule>
  </conditionalFormatting>
  <conditionalFormatting sqref="A104:H105">
    <cfRule type="expression" dxfId="0" priority="33">
      <formula>$I104="x"</formula>
    </cfRule>
  </conditionalFormatting>
  <conditionalFormatting sqref="A98:H103">
    <cfRule type="expression" dxfId="0" priority="34">
      <formula>$I98="x"</formula>
    </cfRule>
  </conditionalFormatting>
  <conditionalFormatting sqref="A96:H97">
    <cfRule type="expression" dxfId="0" priority="35">
      <formula>$I96="x"</formula>
    </cfRule>
  </conditionalFormatting>
  <conditionalFormatting sqref="A95:H95">
    <cfRule type="expression" dxfId="0" priority="36">
      <formula>$I95="x"</formula>
    </cfRule>
  </conditionalFormatting>
  <conditionalFormatting sqref="A93:H94">
    <cfRule type="expression" dxfId="0" priority="37">
      <formula>$I93="x"</formula>
    </cfRule>
  </conditionalFormatting>
  <conditionalFormatting sqref="A90:H92">
    <cfRule type="expression" dxfId="0" priority="38">
      <formula>$I90="x"</formula>
    </cfRule>
  </conditionalFormatting>
  <conditionalFormatting sqref="A88:H89">
    <cfRule type="expression" dxfId="0" priority="39">
      <formula>$I88="x"</formula>
    </cfRule>
  </conditionalFormatting>
  <conditionalFormatting sqref="A87:H87">
    <cfRule type="expression" dxfId="0" priority="40">
      <formula>$I87="x"</formula>
    </cfRule>
  </conditionalFormatting>
  <conditionalFormatting sqref="A86:H86">
    <cfRule type="expression" dxfId="0" priority="41">
      <formula>$I86="x"</formula>
    </cfRule>
  </conditionalFormatting>
  <conditionalFormatting sqref="A84:H85">
    <cfRule type="expression" dxfId="0" priority="42">
      <formula>$I84="x"</formula>
    </cfRule>
  </conditionalFormatting>
  <conditionalFormatting sqref="A64:H83">
    <cfRule type="expression" dxfId="0" priority="43">
      <formula>$I64="x"</formula>
    </cfRule>
  </conditionalFormatting>
  <conditionalFormatting sqref="A63:H63">
    <cfRule type="expression" dxfId="0" priority="44">
      <formula>$I63="x"</formula>
    </cfRule>
  </conditionalFormatting>
  <conditionalFormatting sqref="A59:H62">
    <cfRule type="expression" dxfId="0" priority="45">
      <formula>$I59="x"</formula>
    </cfRule>
  </conditionalFormatting>
  <conditionalFormatting sqref="A50:H58">
    <cfRule type="expression" dxfId="0" priority="46">
      <formula>$I50="x"</formula>
    </cfRule>
  </conditionalFormatting>
  <conditionalFormatting sqref="A43:H49">
    <cfRule type="expression" dxfId="0" priority="47">
      <formula>$I43="x"</formula>
    </cfRule>
  </conditionalFormatting>
  <conditionalFormatting sqref="A40:H42">
    <cfRule type="expression" dxfId="0" priority="48">
      <formula>$I40="x"</formula>
    </cfRule>
  </conditionalFormatting>
  <conditionalFormatting sqref="A34:H39">
    <cfRule type="expression" dxfId="0" priority="49">
      <formula>$I34="x"</formula>
    </cfRule>
  </conditionalFormatting>
  <conditionalFormatting sqref="A29:H33">
    <cfRule type="expression" dxfId="0" priority="50">
      <formula>$I29="x"</formula>
    </cfRule>
  </conditionalFormatting>
  <conditionalFormatting sqref="A28:H28">
    <cfRule type="expression" dxfId="0" priority="51">
      <formula>$I28="x"</formula>
    </cfRule>
  </conditionalFormatting>
  <conditionalFormatting sqref="A26:H27">
    <cfRule type="expression" dxfId="0" priority="52">
      <formula>$I26="x"</formula>
    </cfRule>
  </conditionalFormatting>
  <conditionalFormatting sqref="A24:H25">
    <cfRule type="expression" dxfId="0" priority="53">
      <formula>$I24="x"</formula>
    </cfRule>
  </conditionalFormatting>
  <conditionalFormatting sqref="A22:H23">
    <cfRule type="expression" dxfId="0" priority="54">
      <formula>$I22="x"</formula>
    </cfRule>
  </conditionalFormatting>
  <conditionalFormatting sqref="A19:H21">
    <cfRule type="expression" dxfId="0" priority="55">
      <formula>$I19="x"</formula>
    </cfRule>
  </conditionalFormatting>
  <conditionalFormatting sqref="A16:H18">
    <cfRule type="expression" dxfId="0" priority="56">
      <formula>$I16="x"</formula>
    </cfRule>
  </conditionalFormatting>
  <conditionalFormatting sqref="A12:H15">
    <cfRule type="expression" dxfId="0" priority="57">
      <formula>$I12="x"</formula>
    </cfRule>
  </conditionalFormatting>
  <conditionalFormatting sqref="A10:H11">
    <cfRule type="expression" dxfId="0" priority="58">
      <formula>$I10="x"</formula>
    </cfRule>
  </conditionalFormatting>
  <conditionalFormatting sqref="A8:H9">
    <cfRule type="expression" dxfId="0" priority="59">
      <formula>$I8="x"</formula>
    </cfRule>
  </conditionalFormatting>
  <conditionalFormatting sqref="A5:H7">
    <cfRule type="expression" dxfId="0" priority="60">
      <formula>$I5="x"</formula>
    </cfRule>
  </conditionalFormatting>
  <conditionalFormatting sqref="A3:F4 G3:G236 H3:H4 H10 H21:H22 H41 H53 H57 H66 H115 H147 H165 H193">
    <cfRule type="expression" dxfId="0" priority="61">
      <formula>$I3="x"</formula>
    </cfRule>
  </conditionalFormatting>
  <conditionalFormatting sqref="A2:F2 G2:G236 H2 L2:L236">
    <cfRule type="expression" dxfId="0" priority="62">
      <formula>$I2="x"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D35"/>
    <hyperlink r:id="rId36" ref="C36"/>
    <hyperlink r:id="rId37" ref="C37"/>
    <hyperlink r:id="rId38" ref="C38"/>
    <hyperlink r:id="rId39" ref="C39"/>
    <hyperlink r:id="rId40" ref="C40"/>
    <hyperlink r:id="rId41" ref="C41"/>
    <hyperlink r:id="rId42" ref="C42"/>
    <hyperlink r:id="rId43" ref="C43"/>
    <hyperlink r:id="rId44" ref="C44"/>
    <hyperlink r:id="rId45" ref="C45"/>
    <hyperlink r:id="rId46" ref="C46"/>
    <hyperlink r:id="rId47" ref="C47"/>
    <hyperlink r:id="rId48" ref="C48"/>
    <hyperlink r:id="rId49" ref="C49"/>
    <hyperlink r:id="rId50" ref="C50"/>
    <hyperlink r:id="rId51" ref="C51"/>
    <hyperlink r:id="rId52" ref="C52"/>
    <hyperlink r:id="rId53" ref="C53"/>
    <hyperlink r:id="rId54" ref="C54"/>
    <hyperlink r:id="rId55" ref="C55"/>
    <hyperlink r:id="rId56" ref="C56"/>
    <hyperlink r:id="rId57" ref="C57"/>
    <hyperlink r:id="rId58" ref="C58"/>
    <hyperlink r:id="rId59" ref="C59"/>
    <hyperlink r:id="rId60" ref="C60"/>
    <hyperlink r:id="rId61" ref="C61"/>
    <hyperlink r:id="rId62" ref="C62"/>
    <hyperlink r:id="rId63" ref="C63"/>
    <hyperlink r:id="rId64" ref="C64"/>
    <hyperlink r:id="rId65" ref="C65"/>
    <hyperlink r:id="rId66" ref="C66"/>
    <hyperlink r:id="rId67" ref="C67"/>
    <hyperlink r:id="rId68" ref="A68"/>
    <hyperlink r:id="rId69" ref="C68"/>
    <hyperlink r:id="rId70" ref="C69"/>
    <hyperlink r:id="rId71" ref="C70"/>
    <hyperlink r:id="rId72" ref="C71"/>
    <hyperlink r:id="rId73" ref="C72"/>
    <hyperlink r:id="rId74" ref="C73"/>
    <hyperlink r:id="rId75" ref="C74"/>
    <hyperlink r:id="rId76" ref="C75"/>
    <hyperlink r:id="rId77" ref="C76"/>
    <hyperlink r:id="rId78" ref="C77"/>
    <hyperlink r:id="rId79" ref="C78"/>
    <hyperlink r:id="rId80" ref="C79"/>
    <hyperlink r:id="rId81" ref="C80"/>
    <hyperlink r:id="rId82" ref="C81"/>
    <hyperlink r:id="rId83" ref="C82"/>
    <hyperlink r:id="rId84" ref="A83"/>
    <hyperlink r:id="rId85" ref="C83"/>
    <hyperlink r:id="rId86" ref="C84"/>
    <hyperlink r:id="rId87" ref="C85"/>
    <hyperlink r:id="rId88" ref="C86"/>
    <hyperlink r:id="rId89" ref="C87"/>
    <hyperlink r:id="rId90" ref="C88"/>
    <hyperlink r:id="rId91" ref="C89"/>
    <hyperlink r:id="rId92" ref="C90"/>
    <hyperlink r:id="rId93" ref="C91"/>
    <hyperlink r:id="rId94" ref="C92"/>
    <hyperlink r:id="rId95" ref="C93"/>
    <hyperlink r:id="rId96" ref="C94"/>
    <hyperlink r:id="rId97" ref="C95"/>
    <hyperlink r:id="rId98" ref="C96"/>
    <hyperlink r:id="rId99" ref="C97"/>
    <hyperlink r:id="rId100" ref="C98"/>
    <hyperlink r:id="rId101" ref="C99"/>
    <hyperlink r:id="rId102" ref="C100"/>
    <hyperlink r:id="rId103" ref="C101"/>
    <hyperlink r:id="rId104" ref="C102"/>
    <hyperlink r:id="rId105" ref="C103"/>
    <hyperlink r:id="rId106" ref="C104"/>
    <hyperlink r:id="rId107" ref="C105"/>
    <hyperlink r:id="rId108" ref="A106"/>
    <hyperlink r:id="rId109" ref="C106"/>
    <hyperlink r:id="rId110" ref="C107"/>
    <hyperlink r:id="rId111" ref="C108"/>
    <hyperlink r:id="rId112" ref="C109"/>
    <hyperlink r:id="rId113" ref="C110"/>
    <hyperlink r:id="rId114" ref="C111"/>
    <hyperlink r:id="rId115" ref="C112"/>
    <hyperlink r:id="rId116" ref="C113"/>
    <hyperlink r:id="rId117" ref="C114"/>
    <hyperlink r:id="rId118" ref="C115"/>
    <hyperlink r:id="rId119" ref="C116"/>
    <hyperlink r:id="rId120" ref="C117"/>
    <hyperlink r:id="rId121" ref="C118"/>
    <hyperlink r:id="rId122" ref="C119"/>
    <hyperlink r:id="rId123" ref="C120"/>
    <hyperlink r:id="rId124" ref="C121"/>
    <hyperlink r:id="rId125" ref="C122"/>
    <hyperlink r:id="rId126" ref="C123"/>
    <hyperlink r:id="rId127" ref="C124"/>
    <hyperlink r:id="rId128" ref="C125"/>
    <hyperlink r:id="rId129" ref="C126"/>
    <hyperlink r:id="rId130" ref="C127"/>
    <hyperlink r:id="rId131" ref="C128"/>
    <hyperlink r:id="rId132" ref="C129"/>
    <hyperlink r:id="rId133" ref="C130"/>
    <hyperlink r:id="rId134" ref="C131"/>
    <hyperlink r:id="rId135" ref="C132"/>
    <hyperlink r:id="rId136" ref="C133"/>
    <hyperlink r:id="rId137" ref="A134"/>
    <hyperlink r:id="rId138" ref="C134"/>
    <hyperlink r:id="rId139" ref="C135"/>
    <hyperlink r:id="rId140" ref="C136"/>
    <hyperlink r:id="rId141" ref="C137"/>
    <hyperlink r:id="rId142" ref="A138"/>
    <hyperlink r:id="rId143" ref="C138"/>
    <hyperlink r:id="rId144" ref="C139"/>
    <hyperlink r:id="rId145" ref="C140"/>
    <hyperlink r:id="rId146" ref="C141"/>
    <hyperlink r:id="rId147" ref="C142"/>
    <hyperlink r:id="rId148" ref="C143"/>
    <hyperlink r:id="rId149" ref="C144"/>
    <hyperlink r:id="rId150" ref="C145"/>
    <hyperlink r:id="rId151" ref="C146"/>
    <hyperlink r:id="rId152" ref="C147"/>
    <hyperlink r:id="rId153" ref="C148"/>
    <hyperlink r:id="rId154" ref="C149"/>
    <hyperlink r:id="rId155" ref="C150"/>
    <hyperlink r:id="rId156" ref="C151"/>
    <hyperlink r:id="rId157" ref="C152"/>
    <hyperlink r:id="rId158" ref="C153"/>
    <hyperlink r:id="rId159" ref="C154"/>
    <hyperlink r:id="rId160" ref="C155"/>
    <hyperlink r:id="rId161" ref="C156"/>
    <hyperlink r:id="rId162" ref="C157"/>
    <hyperlink r:id="rId163" ref="C158"/>
    <hyperlink r:id="rId164" ref="C159"/>
    <hyperlink r:id="rId165" ref="C160"/>
    <hyperlink r:id="rId166" ref="C161"/>
    <hyperlink r:id="rId167" ref="C162"/>
    <hyperlink r:id="rId168" ref="C163"/>
    <hyperlink r:id="rId169" ref="C164"/>
    <hyperlink r:id="rId170" ref="C165"/>
    <hyperlink r:id="rId171" ref="C166"/>
    <hyperlink r:id="rId172" ref="C167"/>
    <hyperlink r:id="rId173" ref="C168"/>
    <hyperlink r:id="rId174" ref="C169"/>
    <hyperlink r:id="rId175" ref="C170"/>
    <hyperlink r:id="rId176" ref="C171"/>
    <hyperlink r:id="rId177" ref="C172"/>
    <hyperlink r:id="rId178" ref="C173"/>
    <hyperlink r:id="rId179" ref="C174"/>
    <hyperlink r:id="rId180" ref="C175"/>
    <hyperlink r:id="rId181" ref="C176"/>
    <hyperlink r:id="rId182" ref="C177"/>
    <hyperlink r:id="rId183" ref="C178"/>
    <hyperlink r:id="rId184" ref="C179"/>
    <hyperlink r:id="rId185" ref="C180"/>
    <hyperlink r:id="rId186" ref="C181"/>
    <hyperlink r:id="rId187" ref="C182"/>
    <hyperlink r:id="rId188" ref="C183"/>
    <hyperlink r:id="rId189" ref="C184"/>
    <hyperlink r:id="rId190" ref="C185"/>
    <hyperlink r:id="rId191" ref="C186"/>
    <hyperlink r:id="rId192" ref="C187"/>
    <hyperlink r:id="rId193" ref="C188"/>
    <hyperlink r:id="rId194" ref="C189"/>
    <hyperlink r:id="rId195" ref="C190"/>
    <hyperlink r:id="rId196" ref="C191"/>
    <hyperlink r:id="rId197" ref="C192"/>
    <hyperlink r:id="rId198" ref="C193"/>
    <hyperlink r:id="rId199" ref="C194"/>
    <hyperlink r:id="rId200" ref="C195"/>
    <hyperlink r:id="rId201" ref="C196"/>
    <hyperlink r:id="rId202" ref="C197"/>
    <hyperlink r:id="rId203" ref="C198"/>
    <hyperlink r:id="rId204" ref="A199"/>
    <hyperlink r:id="rId205" ref="C199"/>
    <hyperlink r:id="rId206" ref="C200"/>
    <hyperlink r:id="rId207" ref="C201"/>
    <hyperlink r:id="rId208" ref="C202"/>
    <hyperlink r:id="rId209" ref="C203"/>
    <hyperlink r:id="rId210" ref="C204"/>
    <hyperlink r:id="rId211" ref="C205"/>
    <hyperlink r:id="rId212" ref="C206"/>
    <hyperlink r:id="rId213" ref="C207"/>
    <hyperlink r:id="rId214" ref="C208"/>
    <hyperlink r:id="rId215" ref="C209"/>
    <hyperlink r:id="rId216" ref="C210"/>
    <hyperlink r:id="rId217" ref="C211"/>
    <hyperlink r:id="rId218" ref="C212"/>
    <hyperlink r:id="rId219" ref="C213"/>
    <hyperlink r:id="rId220" ref="C214"/>
    <hyperlink r:id="rId221" ref="C215"/>
    <hyperlink r:id="rId222" ref="C216"/>
    <hyperlink r:id="rId223" ref="C217"/>
    <hyperlink r:id="rId224" ref="C218"/>
    <hyperlink r:id="rId225" ref="C219"/>
    <hyperlink r:id="rId226" ref="C220"/>
    <hyperlink r:id="rId227" ref="C221"/>
    <hyperlink r:id="rId228" ref="C222"/>
    <hyperlink r:id="rId229" ref="C223"/>
    <hyperlink r:id="rId230" ref="C224"/>
    <hyperlink r:id="rId231" ref="C225"/>
    <hyperlink r:id="rId232" ref="C226"/>
    <hyperlink r:id="rId233" ref="C227"/>
    <hyperlink r:id="rId234" ref="C228"/>
    <hyperlink r:id="rId235" ref="C229"/>
    <hyperlink r:id="rId236" ref="C230"/>
    <hyperlink r:id="rId237" ref="C231"/>
    <hyperlink r:id="rId238" ref="C232"/>
    <hyperlink r:id="rId239" ref="C233"/>
    <hyperlink r:id="rId240" ref="C234"/>
    <hyperlink r:id="rId241" ref="C235"/>
    <hyperlink r:id="rId242" ref="C236"/>
  </hyperlinks>
  <drawing r:id="rId24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1902</v>
      </c>
    </row>
    <row r="3">
      <c r="A3" s="1" t="s">
        <v>1903</v>
      </c>
    </row>
    <row r="5">
      <c r="A5" s="1" t="s">
        <v>1904</v>
      </c>
    </row>
    <row r="7">
      <c r="A7" s="1" t="s">
        <v>1905</v>
      </c>
    </row>
    <row r="9">
      <c r="A9" s="1" t="s">
        <v>1906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1915</v>
      </c>
      <c r="C1" s="1" t="s">
        <v>1902</v>
      </c>
    </row>
    <row r="2">
      <c r="A2" s="1" t="s">
        <v>1917</v>
      </c>
    </row>
    <row r="3">
      <c r="A3" s="1" t="s">
        <v>1918</v>
      </c>
      <c r="C3" s="1" t="s">
        <v>1903</v>
      </c>
    </row>
    <row r="4">
      <c r="A4" s="1" t="s">
        <v>1919</v>
      </c>
    </row>
    <row r="5">
      <c r="C5" s="1" t="s">
        <v>1904</v>
      </c>
    </row>
    <row r="7">
      <c r="C7" s="1" t="s">
        <v>1905</v>
      </c>
    </row>
    <row r="9">
      <c r="C9" s="1" t="s">
        <v>1906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1929</v>
      </c>
    </row>
    <row r="2">
      <c r="A2" s="4" t="s">
        <v>41</v>
      </c>
      <c r="B2" s="12" t="s">
        <v>41</v>
      </c>
    </row>
    <row r="3">
      <c r="A3" s="4" t="s">
        <v>61</v>
      </c>
      <c r="B3" s="12" t="s">
        <v>61</v>
      </c>
    </row>
    <row r="4">
      <c r="A4" s="4" t="s">
        <v>78</v>
      </c>
      <c r="B4" s="12" t="s">
        <v>78</v>
      </c>
    </row>
    <row r="5">
      <c r="A5" s="4" t="s">
        <v>361</v>
      </c>
      <c r="B5" s="4" t="s">
        <v>361</v>
      </c>
    </row>
    <row r="6">
      <c r="A6" s="4" t="s">
        <v>346</v>
      </c>
      <c r="B6" s="4" t="s">
        <v>346</v>
      </c>
    </row>
    <row r="7">
      <c r="A7" s="4" t="s">
        <v>321</v>
      </c>
      <c r="B7" s="4" t="s">
        <v>321</v>
      </c>
    </row>
    <row r="8">
      <c r="A8" s="4" t="s">
        <v>330</v>
      </c>
      <c r="B8" s="4" t="s">
        <v>330</v>
      </c>
    </row>
    <row r="9">
      <c r="A9" s="4" t="s">
        <v>109</v>
      </c>
      <c r="B9" s="12" t="s">
        <v>109</v>
      </c>
    </row>
    <row r="10">
      <c r="A10" s="4" t="s">
        <v>197</v>
      </c>
      <c r="B10" s="4" t="s">
        <v>330</v>
      </c>
    </row>
    <row r="11">
      <c r="A11" s="4" t="s">
        <v>1245</v>
      </c>
      <c r="B11" s="4" t="s">
        <v>346</v>
      </c>
    </row>
    <row r="12">
      <c r="A12" s="4" t="s">
        <v>533</v>
      </c>
      <c r="B12" s="4" t="s">
        <v>321</v>
      </c>
    </row>
    <row r="13">
      <c r="A13" s="4" t="s">
        <v>99</v>
      </c>
      <c r="B13" s="4" t="s">
        <v>346</v>
      </c>
    </row>
    <row r="14">
      <c r="A14" s="4" t="s">
        <v>1590</v>
      </c>
      <c r="B14" s="4" t="s">
        <v>361</v>
      </c>
    </row>
  </sheetData>
  <drawing r:id="rId1"/>
</worksheet>
</file>